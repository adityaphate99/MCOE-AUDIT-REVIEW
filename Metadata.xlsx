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. Elpaso Queue Assessment\2. Assessment Software\1. Data Files\3. MCOE Audit\MCOE AUDIT REVIEW\Table_process\"/>
    </mc:Choice>
  </mc:AlternateContent>
  <xr:revisionPtr revIDLastSave="0" documentId="13_ncr:1_{3F6DD87B-69D2-43D2-AE25-D66BEEAEE328}" xr6:coauthVersionLast="47" xr6:coauthVersionMax="47" xr10:uidLastSave="{00000000-0000-0000-0000-000000000000}"/>
  <bookViews>
    <workbookView xWindow="-108" yWindow="-108" windowWidth="23256" windowHeight="13896" tabRatio="578" xr2:uid="{2F070FC8-518C-44A6-AA3E-1FDE4CAF9DF6}"/>
  </bookViews>
  <sheets>
    <sheet name="Database_Index2" sheetId="1" r:id="rId1"/>
    <sheet name="Extracted_Parameters" sheetId="2" r:id="rId2"/>
    <sheet name="MCOE Checklist" sheetId="3" r:id="rId3"/>
    <sheet name="Sheet1" sheetId="4" r:id="rId4"/>
  </sheets>
  <definedNames>
    <definedName name="_xlnm._FilterDatabase" localSheetId="0" hidden="1">Database_Index2!$A$1:$K$268</definedName>
    <definedName name="_xlnm._FilterDatabase" localSheetId="2" hidden="1">'MCOE Checklist'!$N$1:$O$260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3" l="1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14" i="3" a="1"/>
  <c r="N14" i="3" s="1"/>
  <c r="N15" i="3" a="1"/>
  <c r="N15" i="3" s="1"/>
  <c r="N16" i="3" a="1"/>
  <c r="N16" i="3" s="1"/>
  <c r="N17" i="3" a="1"/>
  <c r="N17" i="3" s="1"/>
  <c r="N18" i="3" a="1"/>
  <c r="N18" i="3" s="1"/>
  <c r="N19" i="3" a="1"/>
  <c r="N19" i="3" s="1"/>
  <c r="N20" i="3" a="1"/>
  <c r="N20" i="3" s="1"/>
  <c r="N21" i="3" a="1"/>
  <c r="N21" i="3" s="1"/>
  <c r="N22" i="3" a="1"/>
  <c r="N22" i="3" s="1"/>
  <c r="N23" i="3" a="1"/>
  <c r="N23" i="3" s="1"/>
  <c r="N24" i="3" a="1"/>
  <c r="N24" i="3" s="1"/>
  <c r="N25" i="3" a="1"/>
  <c r="N25" i="3" s="1"/>
  <c r="N26" i="3" a="1"/>
  <c r="N26" i="3" s="1"/>
  <c r="N27" i="3" a="1"/>
  <c r="N27" i="3" s="1"/>
  <c r="N28" i="3" a="1"/>
  <c r="N28" i="3" s="1"/>
  <c r="N29" i="3" a="1"/>
  <c r="N29" i="3" s="1"/>
  <c r="N30" i="3" a="1"/>
  <c r="N30" i="3" s="1"/>
  <c r="N31" i="3" a="1"/>
  <c r="N31" i="3" s="1"/>
  <c r="N32" i="3" a="1"/>
  <c r="N32" i="3" s="1"/>
  <c r="N33" i="3" a="1"/>
  <c r="N33" i="3" s="1"/>
  <c r="N34" i="3" a="1"/>
  <c r="N34" i="3" s="1"/>
  <c r="N35" i="3" a="1"/>
  <c r="N35" i="3" s="1"/>
  <c r="N36" i="3" a="1"/>
  <c r="N36" i="3" s="1"/>
  <c r="N37" i="3" a="1"/>
  <c r="N37" i="3" s="1"/>
  <c r="N38" i="3" a="1"/>
  <c r="N38" i="3" s="1"/>
  <c r="N39" i="3" a="1"/>
  <c r="N39" i="3" s="1"/>
  <c r="N40" i="3" a="1"/>
  <c r="N40" i="3" s="1"/>
  <c r="N41" i="3" a="1"/>
  <c r="N41" i="3" s="1"/>
  <c r="N42" i="3" a="1"/>
  <c r="N42" i="3" s="1"/>
  <c r="N43" i="3" a="1"/>
  <c r="N43" i="3" s="1"/>
  <c r="N44" i="3" a="1"/>
  <c r="N44" i="3" s="1"/>
  <c r="N45" i="3" a="1"/>
  <c r="N45" i="3" s="1"/>
  <c r="N46" i="3" a="1"/>
  <c r="N46" i="3"/>
  <c r="N47" i="3" a="1"/>
  <c r="N47" i="3" s="1"/>
  <c r="N48" i="3" a="1"/>
  <c r="N48" i="3" s="1"/>
  <c r="N49" i="3" a="1"/>
  <c r="N49" i="3" s="1"/>
  <c r="N50" i="3" a="1"/>
  <c r="N50" i="3" s="1"/>
  <c r="N51" i="3" a="1"/>
  <c r="N51" i="3" s="1"/>
  <c r="N52" i="3" a="1"/>
  <c r="N52" i="3" s="1"/>
  <c r="N53" i="3" a="1"/>
  <c r="N53" i="3" s="1"/>
  <c r="N54" i="3" a="1"/>
  <c r="N54" i="3" s="1"/>
  <c r="N55" i="3" a="1"/>
  <c r="N55" i="3" s="1"/>
  <c r="N56" i="3" a="1"/>
  <c r="N56" i="3" s="1"/>
  <c r="N57" i="3" a="1"/>
  <c r="N57" i="3" s="1"/>
  <c r="N58" i="3" a="1"/>
  <c r="N58" i="3" s="1"/>
  <c r="N59" i="3" a="1"/>
  <c r="N59" i="3" s="1"/>
  <c r="N60" i="3" a="1"/>
  <c r="N60" i="3" s="1"/>
  <c r="N61" i="3" a="1"/>
  <c r="N61" i="3" s="1"/>
  <c r="N62" i="3" a="1"/>
  <c r="N62" i="3" s="1"/>
  <c r="N63" i="3" a="1"/>
  <c r="N63" i="3" s="1"/>
  <c r="N64" i="3" a="1"/>
  <c r="N64" i="3" s="1"/>
  <c r="N65" i="3" a="1"/>
  <c r="N65" i="3" s="1"/>
  <c r="N66" i="3" a="1"/>
  <c r="N66" i="3" s="1"/>
  <c r="N67" i="3" a="1"/>
  <c r="N67" i="3" s="1"/>
  <c r="N68" i="3" a="1"/>
  <c r="N68" i="3" s="1"/>
  <c r="N69" i="3" a="1"/>
  <c r="N69" i="3" s="1"/>
  <c r="N70" i="3" a="1"/>
  <c r="N70" i="3" s="1"/>
  <c r="N71" i="3" a="1"/>
  <c r="N71" i="3" s="1"/>
  <c r="N72" i="3" a="1"/>
  <c r="N72" i="3" s="1"/>
  <c r="N73" i="3" a="1"/>
  <c r="N73" i="3" s="1"/>
  <c r="N74" i="3" a="1"/>
  <c r="N74" i="3" s="1"/>
  <c r="N75" i="3" a="1"/>
  <c r="N75" i="3" s="1"/>
  <c r="N76" i="3" a="1"/>
  <c r="N76" i="3" s="1"/>
  <c r="N77" i="3" a="1"/>
  <c r="N77" i="3" s="1"/>
  <c r="N78" i="3" a="1"/>
  <c r="N78" i="3" s="1"/>
  <c r="N79" i="3" a="1"/>
  <c r="N79" i="3" s="1"/>
  <c r="N80" i="3" a="1"/>
  <c r="N80" i="3" s="1"/>
  <c r="N81" i="3" a="1"/>
  <c r="N81" i="3" s="1"/>
  <c r="N82" i="3" a="1"/>
  <c r="N82" i="3" s="1"/>
  <c r="N83" i="3" a="1"/>
  <c r="N83" i="3" s="1"/>
  <c r="N84" i="3" a="1"/>
  <c r="N84" i="3" s="1"/>
  <c r="N85" i="3" a="1"/>
  <c r="N85" i="3" s="1"/>
  <c r="N86" i="3" a="1"/>
  <c r="N86" i="3" s="1"/>
  <c r="N87" i="3" a="1"/>
  <c r="N87" i="3" s="1"/>
  <c r="N88" i="3" a="1"/>
  <c r="N88" i="3" s="1"/>
  <c r="N89" i="3" a="1"/>
  <c r="N89" i="3" s="1"/>
  <c r="N90" i="3" a="1"/>
  <c r="N90" i="3" s="1"/>
  <c r="N91" i="3" a="1"/>
  <c r="N91" i="3" s="1"/>
  <c r="N92" i="3" a="1"/>
  <c r="N92" i="3" s="1"/>
  <c r="N93" i="3" a="1"/>
  <c r="N93" i="3" s="1"/>
  <c r="N94" i="3" a="1"/>
  <c r="N94" i="3" s="1"/>
  <c r="N95" i="3" a="1"/>
  <c r="N95" i="3" s="1"/>
  <c r="N96" i="3" a="1"/>
  <c r="N96" i="3" s="1"/>
  <c r="N97" i="3" a="1"/>
  <c r="N97" i="3" s="1"/>
  <c r="N98" i="3" a="1"/>
  <c r="N98" i="3" s="1"/>
  <c r="N99" i="3" a="1"/>
  <c r="N99" i="3" s="1"/>
  <c r="N100" i="3" a="1"/>
  <c r="N100" i="3" s="1"/>
  <c r="N101" i="3" a="1"/>
  <c r="N101" i="3" s="1"/>
  <c r="N102" i="3" a="1"/>
  <c r="N102" i="3" s="1"/>
  <c r="N103" i="3" a="1"/>
  <c r="N103" i="3" s="1"/>
  <c r="N104" i="3" a="1"/>
  <c r="N104" i="3" s="1"/>
  <c r="N105" i="3" a="1"/>
  <c r="N105" i="3" s="1"/>
  <c r="N106" i="3" a="1"/>
  <c r="N106" i="3" s="1"/>
  <c r="N107" i="3" a="1"/>
  <c r="N107" i="3" s="1"/>
  <c r="N108" i="3" a="1"/>
  <c r="N108" i="3" s="1"/>
  <c r="N109" i="3" a="1"/>
  <c r="N109" i="3" s="1"/>
  <c r="N110" i="3" a="1"/>
  <c r="N110" i="3" s="1"/>
  <c r="N111" i="3" a="1"/>
  <c r="N111" i="3" s="1"/>
  <c r="N112" i="3" a="1"/>
  <c r="N112" i="3" s="1"/>
  <c r="N113" i="3" a="1"/>
  <c r="N113" i="3" s="1"/>
  <c r="N114" i="3" a="1"/>
  <c r="N114" i="3" s="1"/>
  <c r="N115" i="3" a="1"/>
  <c r="N115" i="3" s="1"/>
  <c r="N116" i="3" a="1"/>
  <c r="N116" i="3" s="1"/>
  <c r="N117" i="3" a="1"/>
  <c r="N117" i="3" s="1"/>
  <c r="N118" i="3" a="1"/>
  <c r="N118" i="3" s="1"/>
  <c r="N119" i="3" a="1"/>
  <c r="N119" i="3" s="1"/>
  <c r="N120" i="3" a="1"/>
  <c r="N120" i="3" s="1"/>
  <c r="N121" i="3" a="1"/>
  <c r="N121" i="3" s="1"/>
  <c r="N122" i="3" a="1"/>
  <c r="N122" i="3" s="1"/>
  <c r="N123" i="3" a="1"/>
  <c r="N123" i="3" s="1"/>
  <c r="N124" i="3" a="1"/>
  <c r="N124" i="3" s="1"/>
  <c r="N125" i="3" a="1"/>
  <c r="N125" i="3" s="1"/>
  <c r="N126" i="3" a="1"/>
  <c r="N126" i="3" s="1"/>
  <c r="N127" i="3" a="1"/>
  <c r="N127" i="3" s="1"/>
  <c r="N128" i="3" a="1"/>
  <c r="N128" i="3" s="1"/>
  <c r="N129" i="3" a="1"/>
  <c r="N129" i="3" s="1"/>
  <c r="N130" i="3" a="1"/>
  <c r="N130" i="3" s="1"/>
  <c r="N131" i="3" a="1"/>
  <c r="N131" i="3" s="1"/>
  <c r="N132" i="3" a="1"/>
  <c r="N132" i="3" s="1"/>
  <c r="N133" i="3" a="1"/>
  <c r="N133" i="3" s="1"/>
  <c r="N134" i="3" a="1"/>
  <c r="N134" i="3" s="1"/>
  <c r="N135" i="3" a="1"/>
  <c r="N135" i="3" s="1"/>
  <c r="N136" i="3" a="1"/>
  <c r="N136" i="3" s="1"/>
  <c r="N137" i="3" a="1"/>
  <c r="N137" i="3" s="1"/>
  <c r="N138" i="3" a="1"/>
  <c r="N138" i="3" s="1"/>
  <c r="N139" i="3" a="1"/>
  <c r="N139" i="3" s="1"/>
  <c r="N140" i="3" a="1"/>
  <c r="N140" i="3" s="1"/>
  <c r="N141" i="3" a="1"/>
  <c r="N141" i="3" s="1"/>
  <c r="N142" i="3" a="1"/>
  <c r="N142" i="3" s="1"/>
  <c r="N143" i="3" a="1"/>
  <c r="N143" i="3" s="1"/>
  <c r="N144" i="3" a="1"/>
  <c r="N144" i="3" s="1"/>
  <c r="N145" i="3" a="1"/>
  <c r="N145" i="3" s="1"/>
  <c r="N146" i="3" a="1"/>
  <c r="N146" i="3" s="1"/>
  <c r="N147" i="3" a="1"/>
  <c r="N147" i="3" s="1"/>
  <c r="N148" i="3" a="1"/>
  <c r="N148" i="3" s="1"/>
  <c r="N149" i="3" a="1"/>
  <c r="N149" i="3" s="1"/>
  <c r="N150" i="3" a="1"/>
  <c r="N150" i="3" s="1"/>
  <c r="N151" i="3" a="1"/>
  <c r="N151" i="3" s="1"/>
  <c r="N152" i="3" a="1"/>
  <c r="N152" i="3" s="1"/>
  <c r="N153" i="3" a="1"/>
  <c r="N153" i="3" s="1"/>
  <c r="N154" i="3" a="1"/>
  <c r="N154" i="3" s="1"/>
  <c r="N155" i="3" a="1"/>
  <c r="N155" i="3" s="1"/>
  <c r="N156" i="3" a="1"/>
  <c r="N156" i="3" s="1"/>
  <c r="N157" i="3" a="1"/>
  <c r="N157" i="3" s="1"/>
  <c r="N158" i="3" a="1"/>
  <c r="N158" i="3" s="1"/>
  <c r="N159" i="3" a="1"/>
  <c r="N159" i="3" s="1"/>
  <c r="N160" i="3" a="1"/>
  <c r="N160" i="3" s="1"/>
  <c r="N161" i="3" a="1"/>
  <c r="N161" i="3" s="1"/>
  <c r="N162" i="3" a="1"/>
  <c r="N162" i="3" s="1"/>
  <c r="N163" i="3" a="1"/>
  <c r="N163" i="3" s="1"/>
  <c r="N164" i="3" a="1"/>
  <c r="N164" i="3" s="1"/>
  <c r="N165" i="3" a="1"/>
  <c r="N165" i="3" s="1"/>
  <c r="N166" i="3" a="1"/>
  <c r="N166" i="3" s="1"/>
  <c r="N167" i="3" a="1"/>
  <c r="N167" i="3" s="1"/>
  <c r="N168" i="3" a="1"/>
  <c r="N168" i="3" s="1"/>
  <c r="N169" i="3" a="1"/>
  <c r="N169" i="3" s="1"/>
  <c r="N170" i="3" a="1"/>
  <c r="N170" i="3" s="1"/>
  <c r="N171" i="3" a="1"/>
  <c r="N171" i="3" s="1"/>
  <c r="N172" i="3" a="1"/>
  <c r="N172" i="3" s="1"/>
  <c r="N173" i="3" a="1"/>
  <c r="N173" i="3" s="1"/>
  <c r="N174" i="3" a="1"/>
  <c r="N174" i="3" s="1"/>
  <c r="N175" i="3" a="1"/>
  <c r="N175" i="3" s="1"/>
  <c r="N176" i="3" a="1"/>
  <c r="N176" i="3" s="1"/>
  <c r="N177" i="3" a="1"/>
  <c r="N177" i="3" s="1"/>
  <c r="N178" i="3" a="1"/>
  <c r="N178" i="3" s="1"/>
  <c r="N179" i="3" a="1"/>
  <c r="N179" i="3" s="1"/>
  <c r="N180" i="3" a="1"/>
  <c r="N180" i="3" s="1"/>
  <c r="N181" i="3" a="1"/>
  <c r="N181" i="3" s="1"/>
  <c r="N182" i="3" a="1"/>
  <c r="N182" i="3" s="1"/>
  <c r="N183" i="3" a="1"/>
  <c r="N183" i="3" s="1"/>
  <c r="N184" i="3" a="1"/>
  <c r="N184" i="3" s="1"/>
  <c r="N185" i="3" a="1"/>
  <c r="N185" i="3" s="1"/>
  <c r="N186" i="3" a="1"/>
  <c r="N186" i="3" s="1"/>
  <c r="N187" i="3" a="1"/>
  <c r="N187" i="3" s="1"/>
  <c r="N188" i="3" a="1"/>
  <c r="N188" i="3" s="1"/>
  <c r="N189" i="3" a="1"/>
  <c r="N189" i="3" s="1"/>
  <c r="N190" i="3" a="1"/>
  <c r="N190" i="3" s="1"/>
  <c r="N191" i="3" a="1"/>
  <c r="N191" i="3" s="1"/>
  <c r="N192" i="3" a="1"/>
  <c r="N192" i="3" s="1"/>
  <c r="N193" i="3" a="1"/>
  <c r="N193" i="3" s="1"/>
  <c r="N194" i="3" a="1"/>
  <c r="N194" i="3" s="1"/>
  <c r="N195" i="3" a="1"/>
  <c r="N195" i="3" s="1"/>
  <c r="N196" i="3" a="1"/>
  <c r="N196" i="3" s="1"/>
  <c r="N197" i="3" a="1"/>
  <c r="N197" i="3" s="1"/>
  <c r="N198" i="3" a="1"/>
  <c r="N198" i="3" s="1"/>
  <c r="N199" i="3" a="1"/>
  <c r="N199" i="3" s="1"/>
  <c r="N200" i="3" a="1"/>
  <c r="N200" i="3" s="1"/>
  <c r="N201" i="3" a="1"/>
  <c r="N201" i="3" s="1"/>
  <c r="N202" i="3" a="1"/>
  <c r="N202" i="3" s="1"/>
  <c r="N203" i="3" a="1"/>
  <c r="N203" i="3" s="1"/>
  <c r="N204" i="3" a="1"/>
  <c r="N204" i="3" s="1"/>
  <c r="N205" i="3" a="1"/>
  <c r="N205" i="3" s="1"/>
  <c r="N206" i="3" a="1"/>
  <c r="N206" i="3" s="1"/>
  <c r="N207" i="3" a="1"/>
  <c r="N207" i="3" s="1"/>
  <c r="N208" i="3" a="1"/>
  <c r="N208" i="3" s="1"/>
  <c r="N209" i="3" a="1"/>
  <c r="N209" i="3" s="1"/>
  <c r="N210" i="3" a="1"/>
  <c r="N210" i="3" s="1"/>
  <c r="N211" i="3" a="1"/>
  <c r="N211" i="3" s="1"/>
  <c r="N212" i="3" a="1"/>
  <c r="N212" i="3" s="1"/>
  <c r="N213" i="3" a="1"/>
  <c r="N213" i="3" s="1"/>
  <c r="N214" i="3" a="1"/>
  <c r="N214" i="3" s="1"/>
  <c r="N215" i="3" a="1"/>
  <c r="N215" i="3" s="1"/>
  <c r="N216" i="3" a="1"/>
  <c r="N216" i="3" s="1"/>
  <c r="N217" i="3" a="1"/>
  <c r="N217" i="3" s="1"/>
  <c r="N218" i="3" a="1"/>
  <c r="N218" i="3" s="1"/>
  <c r="N219" i="3" a="1"/>
  <c r="N219" i="3" s="1"/>
  <c r="N220" i="3" a="1"/>
  <c r="N220" i="3" s="1"/>
  <c r="N221" i="3" a="1"/>
  <c r="N221" i="3" s="1"/>
  <c r="N222" i="3" a="1"/>
  <c r="N222" i="3" s="1"/>
  <c r="N223" i="3" a="1"/>
  <c r="N223" i="3" s="1"/>
  <c r="N224" i="3" a="1"/>
  <c r="N224" i="3" s="1"/>
  <c r="N225" i="3" a="1"/>
  <c r="N225" i="3" s="1"/>
  <c r="N226" i="3" a="1"/>
  <c r="N226" i="3" s="1"/>
  <c r="N227" i="3" a="1"/>
  <c r="N227" i="3" s="1"/>
  <c r="N228" i="3" a="1"/>
  <c r="N228" i="3" s="1"/>
  <c r="N229" i="3" a="1"/>
  <c r="N229" i="3" s="1"/>
  <c r="N230" i="3" a="1"/>
  <c r="N230" i="3" s="1"/>
  <c r="N231" i="3" a="1"/>
  <c r="N231" i="3" s="1"/>
  <c r="N232" i="3" a="1"/>
  <c r="N232" i="3" s="1"/>
  <c r="N233" i="3" a="1"/>
  <c r="N233" i="3" s="1"/>
  <c r="N234" i="3" a="1"/>
  <c r="N234" i="3" s="1"/>
  <c r="N235" i="3" a="1"/>
  <c r="N235" i="3" s="1"/>
  <c r="N236" i="3" a="1"/>
  <c r="N236" i="3" s="1"/>
  <c r="N237" i="3" a="1"/>
  <c r="N237" i="3" s="1"/>
  <c r="N238" i="3" a="1"/>
  <c r="N238" i="3" s="1"/>
  <c r="N239" i="3" a="1"/>
  <c r="N239" i="3" s="1"/>
  <c r="N240" i="3" a="1"/>
  <c r="N240" i="3" s="1"/>
  <c r="N241" i="3" a="1"/>
  <c r="N241" i="3" s="1"/>
  <c r="N242" i="3" a="1"/>
  <c r="N242" i="3" s="1"/>
  <c r="N243" i="3" a="1"/>
  <c r="N243" i="3" s="1"/>
  <c r="N244" i="3" a="1"/>
  <c r="N244" i="3" s="1"/>
  <c r="N245" i="3" a="1"/>
  <c r="N245" i="3" s="1"/>
  <c r="N246" i="3" a="1"/>
  <c r="N246" i="3" s="1"/>
  <c r="N247" i="3" a="1"/>
  <c r="N247" i="3" s="1"/>
  <c r="N248" i="3" a="1"/>
  <c r="N248" i="3" s="1"/>
  <c r="N249" i="3" a="1"/>
  <c r="N249" i="3" s="1"/>
  <c r="N250" i="3" a="1"/>
  <c r="N250" i="3" s="1"/>
  <c r="N251" i="3" a="1"/>
  <c r="N251" i="3" s="1"/>
  <c r="N252" i="3" a="1"/>
  <c r="N252" i="3" s="1"/>
  <c r="N253" i="3" a="1"/>
  <c r="N253" i="3" s="1"/>
  <c r="N254" i="3" a="1"/>
  <c r="N254" i="3" s="1"/>
  <c r="N255" i="3" a="1"/>
  <c r="N255" i="3" s="1"/>
  <c r="N256" i="3" a="1"/>
  <c r="N256" i="3" s="1"/>
  <c r="N257" i="3" a="1"/>
  <c r="N257" i="3" s="1"/>
  <c r="N258" i="3" a="1"/>
  <c r="N258" i="3" s="1"/>
  <c r="N259" i="3" a="1"/>
  <c r="N259" i="3" s="1"/>
  <c r="N260" i="3" a="1"/>
  <c r="N260" i="3" s="1"/>
  <c r="N2" i="3" a="1"/>
  <c r="N2" i="3" s="1"/>
  <c r="O3" i="3" a="1"/>
  <c r="O3" i="3" s="1"/>
  <c r="O4" i="3" a="1"/>
  <c r="O4" i="3" s="1"/>
  <c r="O5" i="3" a="1"/>
  <c r="O5" i="3" s="1"/>
  <c r="O6" i="3" a="1"/>
  <c r="O6" i="3" s="1"/>
  <c r="O7" i="3" a="1"/>
  <c r="O7" i="3" s="1"/>
  <c r="O8" i="3" a="1"/>
  <c r="O8" i="3" s="1"/>
  <c r="O9" i="3" a="1"/>
  <c r="O9" i="3"/>
  <c r="O10" i="3" a="1"/>
  <c r="O10" i="3" s="1"/>
  <c r="O11" i="3" a="1"/>
  <c r="O11" i="3" s="1"/>
  <c r="O12" i="3" a="1"/>
  <c r="O12" i="3" s="1"/>
  <c r="O13" i="3" a="1"/>
  <c r="O13" i="3" s="1"/>
  <c r="O14" i="3" a="1"/>
  <c r="O14" i="3" s="1"/>
  <c r="O15" i="3" a="1"/>
  <c r="O15" i="3" s="1"/>
  <c r="O16" i="3" a="1"/>
  <c r="O16" i="3" s="1"/>
  <c r="O17" i="3" a="1"/>
  <c r="O17" i="3" s="1"/>
  <c r="O18" i="3" a="1"/>
  <c r="O18" i="3" s="1"/>
  <c r="O19" i="3" a="1"/>
  <c r="O19" i="3" s="1"/>
  <c r="O20" i="3" a="1"/>
  <c r="O20" i="3" s="1"/>
  <c r="O21" i="3" a="1"/>
  <c r="O21" i="3" s="1"/>
  <c r="O22" i="3" a="1"/>
  <c r="O22" i="3" s="1"/>
  <c r="O23" i="3" a="1"/>
  <c r="O23" i="3" s="1"/>
  <c r="O24" i="3" a="1"/>
  <c r="O24" i="3"/>
  <c r="O25" i="3" a="1"/>
  <c r="O25" i="3" s="1"/>
  <c r="O26" i="3" a="1"/>
  <c r="O26" i="3" s="1"/>
  <c r="O27" i="3" a="1"/>
  <c r="O27" i="3" s="1"/>
  <c r="O28" i="3" a="1"/>
  <c r="O28" i="3" s="1"/>
  <c r="O29" i="3" a="1"/>
  <c r="O29" i="3" s="1"/>
  <c r="O30" i="3" a="1"/>
  <c r="O30" i="3" s="1"/>
  <c r="O31" i="3" a="1"/>
  <c r="O31" i="3" s="1"/>
  <c r="O32" i="3" a="1"/>
  <c r="O32" i="3" s="1"/>
  <c r="O33" i="3" a="1"/>
  <c r="O33" i="3" s="1"/>
  <c r="O34" i="3" a="1"/>
  <c r="O34" i="3" s="1"/>
  <c r="O35" i="3" a="1"/>
  <c r="O35" i="3" s="1"/>
  <c r="O36" i="3" a="1"/>
  <c r="O36" i="3" s="1"/>
  <c r="O37" i="3" a="1"/>
  <c r="O37" i="3" s="1"/>
  <c r="O38" i="3" a="1"/>
  <c r="O38" i="3" s="1"/>
  <c r="O39" i="3" a="1"/>
  <c r="O39" i="3" s="1"/>
  <c r="O40" i="3" a="1"/>
  <c r="O40" i="3" s="1"/>
  <c r="O41" i="3" a="1"/>
  <c r="O41" i="3" s="1"/>
  <c r="O42" i="3" a="1"/>
  <c r="O42" i="3" s="1"/>
  <c r="O43" i="3" a="1"/>
  <c r="O43" i="3" s="1"/>
  <c r="O44" i="3" a="1"/>
  <c r="O44" i="3" s="1"/>
  <c r="O45" i="3" a="1"/>
  <c r="O45" i="3" s="1"/>
  <c r="O46" i="3" a="1"/>
  <c r="O46" i="3" s="1"/>
  <c r="O47" i="3" a="1"/>
  <c r="O47" i="3" s="1"/>
  <c r="O48" i="3" a="1"/>
  <c r="O48" i="3" s="1"/>
  <c r="O49" i="3" a="1"/>
  <c r="O49" i="3" s="1"/>
  <c r="O50" i="3" a="1"/>
  <c r="O50" i="3" s="1"/>
  <c r="O51" i="3" a="1"/>
  <c r="O51" i="3" s="1"/>
  <c r="O53" i="3" a="1"/>
  <c r="O53" i="3" s="1"/>
  <c r="O54" i="3" a="1"/>
  <c r="O54" i="3" s="1"/>
  <c r="O55" i="3" a="1"/>
  <c r="O55" i="3" s="1"/>
  <c r="O56" i="3" a="1"/>
  <c r="O56" i="3" s="1"/>
  <c r="O57" i="3" a="1"/>
  <c r="O57" i="3" s="1"/>
  <c r="O59" i="3" a="1"/>
  <c r="O59" i="3" s="1"/>
  <c r="O60" i="3" a="1"/>
  <c r="O60" i="3" s="1"/>
  <c r="O62" i="3" a="1"/>
  <c r="O62" i="3" s="1"/>
  <c r="O63" i="3" a="1"/>
  <c r="O63" i="3" s="1"/>
  <c r="O64" i="3" a="1"/>
  <c r="O64" i="3" s="1"/>
  <c r="O65" i="3" a="1"/>
  <c r="O65" i="3" s="1"/>
  <c r="O66" i="3" a="1"/>
  <c r="O66" i="3" s="1"/>
  <c r="O67" i="3" a="1"/>
  <c r="O67" i="3" s="1"/>
  <c r="O68" i="3" a="1"/>
  <c r="O68" i="3" s="1"/>
  <c r="O69" i="3" a="1"/>
  <c r="O69" i="3" s="1"/>
  <c r="O70" i="3" a="1"/>
  <c r="O70" i="3" s="1"/>
  <c r="O71" i="3" a="1"/>
  <c r="O71" i="3" s="1"/>
  <c r="O72" i="3" a="1"/>
  <c r="O72" i="3" s="1"/>
  <c r="O73" i="3" a="1"/>
  <c r="O73" i="3" s="1"/>
  <c r="O74" i="3" a="1"/>
  <c r="O74" i="3" s="1"/>
  <c r="O75" i="3" a="1"/>
  <c r="O75" i="3" s="1"/>
  <c r="O76" i="3" a="1"/>
  <c r="O76" i="3" s="1"/>
  <c r="O77" i="3" a="1"/>
  <c r="O77" i="3" s="1"/>
  <c r="O78" i="3" a="1"/>
  <c r="O78" i="3" s="1"/>
  <c r="O79" i="3" a="1"/>
  <c r="O79" i="3" s="1"/>
  <c r="O80" i="3" a="1"/>
  <c r="O80" i="3" s="1"/>
  <c r="O81" i="3" a="1"/>
  <c r="O81" i="3" s="1"/>
  <c r="O84" i="3" a="1"/>
  <c r="O84" i="3" s="1"/>
  <c r="O85" i="3" a="1"/>
  <c r="O85" i="3" s="1"/>
  <c r="O86" i="3" a="1"/>
  <c r="O86" i="3" s="1"/>
  <c r="O87" i="3" a="1"/>
  <c r="O87" i="3" s="1"/>
  <c r="O88" i="3" a="1"/>
  <c r="O88" i="3" s="1"/>
  <c r="O89" i="3" a="1"/>
  <c r="O89" i="3" s="1"/>
  <c r="O90" i="3" a="1"/>
  <c r="O90" i="3" s="1"/>
  <c r="O94" i="3" a="1"/>
  <c r="O94" i="3" s="1"/>
  <c r="O95" i="3" a="1"/>
  <c r="O95" i="3" s="1"/>
  <c r="O96" i="3" a="1"/>
  <c r="O96" i="3" s="1"/>
  <c r="O97" i="3" a="1"/>
  <c r="O97" i="3" s="1"/>
  <c r="O98" i="3" a="1"/>
  <c r="O98" i="3" s="1"/>
  <c r="O99" i="3" a="1"/>
  <c r="O99" i="3" s="1"/>
  <c r="O100" i="3" a="1"/>
  <c r="O100" i="3" s="1"/>
  <c r="O102" i="3" a="1"/>
  <c r="O102" i="3" s="1"/>
  <c r="O103" i="3" a="1"/>
  <c r="O103" i="3" s="1"/>
  <c r="O107" i="3" a="1"/>
  <c r="O107" i="3" s="1"/>
  <c r="O108" i="3" a="1"/>
  <c r="O108" i="3" s="1"/>
  <c r="O109" i="3" a="1"/>
  <c r="O109" i="3" s="1"/>
  <c r="O110" i="3" a="1"/>
  <c r="O110" i="3" s="1"/>
  <c r="O111" i="3" a="1"/>
  <c r="O111" i="3" s="1"/>
  <c r="O112" i="3" a="1"/>
  <c r="O112" i="3" s="1"/>
  <c r="O113" i="3" a="1"/>
  <c r="O113" i="3" s="1"/>
  <c r="O114" i="3" a="1"/>
  <c r="O114" i="3" s="1"/>
  <c r="O115" i="3" a="1"/>
  <c r="O115" i="3" s="1"/>
  <c r="O117" i="3" a="1"/>
  <c r="O117" i="3" s="1"/>
  <c r="O118" i="3" a="1"/>
  <c r="O118" i="3" s="1"/>
  <c r="O119" i="3" a="1"/>
  <c r="O119" i="3" s="1"/>
  <c r="O120" i="3" a="1"/>
  <c r="O120" i="3" s="1"/>
  <c r="O121" i="3" a="1"/>
  <c r="O121" i="3" s="1"/>
  <c r="O122" i="3" a="1"/>
  <c r="O122" i="3" s="1"/>
  <c r="O123" i="3" a="1"/>
  <c r="O123" i="3" s="1"/>
  <c r="O124" i="3" a="1"/>
  <c r="O124" i="3" s="1"/>
  <c r="O125" i="3" a="1"/>
  <c r="O125" i="3" s="1"/>
  <c r="O126" i="3" a="1"/>
  <c r="O126" i="3" s="1"/>
  <c r="O127" i="3" a="1"/>
  <c r="O127" i="3" s="1"/>
  <c r="O128" i="3" a="1"/>
  <c r="O128" i="3" s="1"/>
  <c r="O129" i="3" a="1"/>
  <c r="O129" i="3" s="1"/>
  <c r="O130" i="3" a="1"/>
  <c r="O130" i="3" s="1"/>
  <c r="O131" i="3" a="1"/>
  <c r="O131" i="3" s="1"/>
  <c r="O132" i="3" a="1"/>
  <c r="O132" i="3" s="1"/>
  <c r="O133" i="3" a="1"/>
  <c r="O133" i="3" s="1"/>
  <c r="O134" i="3" a="1"/>
  <c r="O134" i="3" s="1"/>
  <c r="O138" i="3" a="1"/>
  <c r="O138" i="3" s="1"/>
  <c r="O140" i="3" a="1"/>
  <c r="O140" i="3" s="1"/>
  <c r="O141" i="3" a="1"/>
  <c r="O141" i="3" s="1"/>
  <c r="O142" i="3" a="1"/>
  <c r="O142" i="3" s="1"/>
  <c r="O143" i="3" a="1"/>
  <c r="O143" i="3" s="1"/>
  <c r="O144" i="3" a="1"/>
  <c r="O144" i="3" s="1"/>
  <c r="O145" i="3" a="1"/>
  <c r="O145" i="3" s="1"/>
  <c r="O146" i="3" a="1"/>
  <c r="O146" i="3" s="1"/>
  <c r="O147" i="3" a="1"/>
  <c r="O147" i="3" s="1"/>
  <c r="O149" i="3" a="1"/>
  <c r="O149" i="3" s="1"/>
  <c r="O150" i="3" a="1"/>
  <c r="O150" i="3" s="1"/>
  <c r="O151" i="3" a="1"/>
  <c r="O151" i="3" s="1"/>
  <c r="O152" i="3" a="1"/>
  <c r="O152" i="3" s="1"/>
  <c r="O153" i="3" a="1"/>
  <c r="O153" i="3" s="1"/>
  <c r="O154" i="3" a="1"/>
  <c r="O154" i="3" s="1"/>
  <c r="O155" i="3" a="1"/>
  <c r="O155" i="3" s="1"/>
  <c r="O156" i="3" a="1"/>
  <c r="O156" i="3" s="1"/>
  <c r="O157" i="3" a="1"/>
  <c r="O157" i="3" s="1"/>
  <c r="O158" i="3" a="1"/>
  <c r="O158" i="3" s="1"/>
  <c r="O159" i="3" a="1"/>
  <c r="O159" i="3" s="1"/>
  <c r="O160" i="3" a="1"/>
  <c r="O160" i="3" s="1"/>
  <c r="O161" i="3" a="1"/>
  <c r="O161" i="3" s="1"/>
  <c r="O162" i="3" a="1"/>
  <c r="O162" i="3" s="1"/>
  <c r="O163" i="3" a="1"/>
  <c r="O163" i="3" s="1"/>
  <c r="O164" i="3" a="1"/>
  <c r="O164" i="3" s="1"/>
  <c r="O165" i="3" a="1"/>
  <c r="O165" i="3" s="1"/>
  <c r="O167" i="3" a="1"/>
  <c r="O167" i="3" s="1"/>
  <c r="O168" i="3" a="1"/>
  <c r="O168" i="3" s="1"/>
  <c r="O169" i="3" a="1"/>
  <c r="O169" i="3" s="1"/>
  <c r="O170" i="3" a="1"/>
  <c r="O170" i="3" s="1"/>
  <c r="O171" i="3" a="1"/>
  <c r="O171" i="3" s="1"/>
  <c r="O172" i="3" a="1"/>
  <c r="O172" i="3" s="1"/>
  <c r="O173" i="3" a="1"/>
  <c r="O173" i="3" s="1"/>
  <c r="O174" i="3" a="1"/>
  <c r="O174" i="3" s="1"/>
  <c r="O175" i="3" a="1"/>
  <c r="O175" i="3" s="1"/>
  <c r="O176" i="3" a="1"/>
  <c r="O176" i="3" s="1"/>
  <c r="O177" i="3" a="1"/>
  <c r="O177" i="3" s="1"/>
  <c r="O178" i="3" a="1"/>
  <c r="O178" i="3" s="1"/>
  <c r="O179" i="3" a="1"/>
  <c r="O179" i="3" s="1"/>
  <c r="O180" i="3" a="1"/>
  <c r="O180" i="3" s="1"/>
  <c r="O181" i="3" a="1"/>
  <c r="O181" i="3" s="1"/>
  <c r="O182" i="3" a="1"/>
  <c r="O182" i="3" s="1"/>
  <c r="O183" i="3" a="1"/>
  <c r="O183" i="3" s="1"/>
  <c r="O184" i="3" a="1"/>
  <c r="O184" i="3" s="1"/>
  <c r="O185" i="3" a="1"/>
  <c r="O185" i="3" s="1"/>
  <c r="O186" i="3" a="1"/>
  <c r="O186" i="3" s="1"/>
  <c r="O187" i="3" a="1"/>
  <c r="O187" i="3" s="1"/>
  <c r="O188" i="3" a="1"/>
  <c r="O188" i="3" s="1"/>
  <c r="O189" i="3" a="1"/>
  <c r="O189" i="3" s="1"/>
  <c r="O190" i="3" a="1"/>
  <c r="O190" i="3" s="1"/>
  <c r="O191" i="3" a="1"/>
  <c r="O191" i="3" s="1"/>
  <c r="O192" i="3" a="1"/>
  <c r="O192" i="3" s="1"/>
  <c r="O193" i="3" a="1"/>
  <c r="O193" i="3" s="1"/>
  <c r="O194" i="3" a="1"/>
  <c r="O194" i="3" s="1"/>
  <c r="O195" i="3" a="1"/>
  <c r="O195" i="3" s="1"/>
  <c r="O196" i="3" a="1"/>
  <c r="O196" i="3" s="1"/>
  <c r="O197" i="3" a="1"/>
  <c r="O197" i="3" s="1"/>
  <c r="O198" i="3" a="1"/>
  <c r="O198" i="3" s="1"/>
  <c r="O199" i="3" a="1"/>
  <c r="O199" i="3" s="1"/>
  <c r="O200" i="3" a="1"/>
  <c r="O200" i="3" s="1"/>
  <c r="O201" i="3" a="1"/>
  <c r="O201" i="3" s="1"/>
  <c r="O202" i="3" a="1"/>
  <c r="O202" i="3" s="1"/>
  <c r="O203" i="3" a="1"/>
  <c r="O203" i="3" s="1"/>
  <c r="O204" i="3" a="1"/>
  <c r="O204" i="3" s="1"/>
  <c r="O205" i="3" a="1"/>
  <c r="O205" i="3" s="1"/>
  <c r="O206" i="3" a="1"/>
  <c r="O206" i="3" s="1"/>
  <c r="O207" i="3" a="1"/>
  <c r="O207" i="3" s="1"/>
  <c r="O208" i="3" a="1"/>
  <c r="O208" i="3" s="1"/>
  <c r="O209" i="3" a="1"/>
  <c r="O209" i="3" s="1"/>
  <c r="O210" i="3" a="1"/>
  <c r="O210" i="3" s="1"/>
  <c r="O211" i="3" a="1"/>
  <c r="O211" i="3" s="1"/>
  <c r="O212" i="3" a="1"/>
  <c r="O212" i="3" s="1"/>
  <c r="O213" i="3" a="1"/>
  <c r="O213" i="3" s="1"/>
  <c r="O214" i="3" a="1"/>
  <c r="O214" i="3" s="1"/>
  <c r="O215" i="3" a="1"/>
  <c r="O215" i="3" s="1"/>
  <c r="O216" i="3" a="1"/>
  <c r="O216" i="3" s="1"/>
  <c r="O217" i="3" a="1"/>
  <c r="O217" i="3" s="1"/>
  <c r="O218" i="3" a="1"/>
  <c r="O218" i="3" s="1"/>
  <c r="O219" i="3" a="1"/>
  <c r="O219" i="3" s="1"/>
  <c r="O220" i="3" a="1"/>
  <c r="O220" i="3" s="1"/>
  <c r="O221" i="3" a="1"/>
  <c r="O221" i="3" s="1"/>
  <c r="O222" i="3" a="1"/>
  <c r="O222" i="3" s="1"/>
  <c r="O223" i="3" a="1"/>
  <c r="O223" i="3" s="1"/>
  <c r="O224" i="3" a="1"/>
  <c r="O224" i="3" s="1"/>
  <c r="O225" i="3" a="1"/>
  <c r="O225" i="3" s="1"/>
  <c r="O226" i="3" a="1"/>
  <c r="O226" i="3" s="1"/>
  <c r="O227" i="3" a="1"/>
  <c r="O227" i="3" s="1"/>
  <c r="O228" i="3" a="1"/>
  <c r="O228" i="3" s="1"/>
  <c r="O229" i="3" a="1"/>
  <c r="O229" i="3" s="1"/>
  <c r="O230" i="3" a="1"/>
  <c r="O230" i="3" s="1"/>
  <c r="O231" i="3" a="1"/>
  <c r="O231" i="3" s="1"/>
  <c r="O232" i="3" a="1"/>
  <c r="O232" i="3" s="1"/>
  <c r="O233" i="3" a="1"/>
  <c r="O233" i="3" s="1"/>
  <c r="O234" i="3" a="1"/>
  <c r="O234" i="3" s="1"/>
  <c r="O236" i="3" a="1"/>
  <c r="O236" i="3" s="1"/>
  <c r="O237" i="3" a="1"/>
  <c r="O237" i="3" s="1"/>
  <c r="O238" i="3" a="1"/>
  <c r="O238" i="3" s="1"/>
  <c r="O239" i="3" a="1"/>
  <c r="O239" i="3" s="1"/>
  <c r="O240" i="3" a="1"/>
  <c r="O240" i="3" s="1"/>
  <c r="O241" i="3" a="1"/>
  <c r="O241" i="3" s="1"/>
  <c r="O242" i="3" a="1"/>
  <c r="O242" i="3" s="1"/>
  <c r="O243" i="3" a="1"/>
  <c r="O243" i="3" s="1"/>
  <c r="O244" i="3" a="1"/>
  <c r="O244" i="3" s="1"/>
  <c r="O245" i="3" a="1"/>
  <c r="O245" i="3" s="1"/>
  <c r="O246" i="3" a="1"/>
  <c r="O246" i="3" s="1"/>
  <c r="O247" i="3" a="1"/>
  <c r="O247" i="3" s="1"/>
  <c r="O248" i="3" a="1"/>
  <c r="O248" i="3" s="1"/>
  <c r="O249" i="3" a="1"/>
  <c r="O249" i="3" s="1"/>
  <c r="O250" i="3" a="1"/>
  <c r="O250" i="3" s="1"/>
  <c r="O251" i="3" a="1"/>
  <c r="O251" i="3" s="1"/>
  <c r="O253" i="3" a="1"/>
  <c r="O253" i="3" s="1"/>
  <c r="O255" i="3" a="1"/>
  <c r="O255" i="3" s="1"/>
  <c r="O256" i="3" a="1"/>
  <c r="O256" i="3" s="1"/>
  <c r="O257" i="3" a="1"/>
  <c r="O257" i="3" s="1"/>
  <c r="O258" i="3" a="1"/>
  <c r="O258" i="3" s="1"/>
  <c r="O259" i="3" a="1"/>
  <c r="O259" i="3" s="1"/>
  <c r="O260" i="3" a="1"/>
  <c r="O260" i="3" s="1"/>
  <c r="O2" i="3" a="1"/>
  <c r="O2" i="3" s="1"/>
  <c r="S11" i="3" l="1"/>
  <c r="T11" i="3" s="1"/>
  <c r="S7" i="3"/>
  <c r="T7" i="3" s="1"/>
  <c r="S10" i="3"/>
  <c r="T10" i="3" s="1"/>
  <c r="S6" i="3"/>
  <c r="T6" i="3" s="1"/>
  <c r="S12" i="3"/>
  <c r="T12" i="3" s="1"/>
  <c r="S9" i="3"/>
  <c r="T9" i="3" s="1"/>
  <c r="S8" i="3"/>
  <c r="T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<sst xmlns="http://schemas.openxmlformats.org/spreadsheetml/2006/main" count="3437" uniqueCount="597">
  <si>
    <t>Bus-Cable Pull, Non Utility Specific</t>
  </si>
  <si>
    <t>CABLEPULL</t>
  </si>
  <si>
    <t xml:space="preserve">Material </t>
  </si>
  <si>
    <t>Phase</t>
  </si>
  <si>
    <t>Heat Test/Density</t>
  </si>
  <si>
    <t>Section Width</t>
  </si>
  <si>
    <t>Ampacity</t>
  </si>
  <si>
    <t>Multiple Sheets</t>
  </si>
  <si>
    <t>Assembly Drawing</t>
  </si>
  <si>
    <t>CABLEPULL-2</t>
  </si>
  <si>
    <t>Bus-Connectors, Top of Device to Upper (Auxiliary) Cross Bus</t>
  </si>
  <si>
    <t>AUXMACON</t>
  </si>
  <si>
    <t>Minimum Structure Depth</t>
  </si>
  <si>
    <t>Cross Bus Position</t>
  </si>
  <si>
    <t>Material</t>
  </si>
  <si>
    <t>Device</t>
  </si>
  <si>
    <t>SAUXMACO</t>
  </si>
  <si>
    <t>Structure Depth</t>
  </si>
  <si>
    <t>Structure Width</t>
  </si>
  <si>
    <t>Aux X-Bus Hole CTRS</t>
  </si>
  <si>
    <t>WCCONNMD</t>
  </si>
  <si>
    <t>Assembly Number</t>
  </si>
  <si>
    <t>Bus-Connectors, Device to Lower (Standard) Cross Bus</t>
  </si>
  <si>
    <t>MDCONLN</t>
  </si>
  <si>
    <t>Bus Position</t>
  </si>
  <si>
    <t>DWG No.</t>
  </si>
  <si>
    <t>MDCONLOA</t>
  </si>
  <si>
    <t>Support Edge to Edge</t>
  </si>
  <si>
    <t>SMDCONLN</t>
  </si>
  <si>
    <t xml:space="preserve">DWG No. </t>
  </si>
  <si>
    <t>Heat Test</t>
  </si>
  <si>
    <t>Amp per Sq CU and Alum</t>
  </si>
  <si>
    <t>STMNCHCO</t>
  </si>
  <si>
    <t>36/45W</t>
  </si>
  <si>
    <t>PHASECONN</t>
  </si>
  <si>
    <t>Width</t>
  </si>
  <si>
    <t>Density</t>
  </si>
  <si>
    <t>Amperage</t>
  </si>
  <si>
    <t>Bus-Cross, Top Position</t>
  </si>
  <si>
    <t>AUXILCB</t>
  </si>
  <si>
    <t>Width (Wide)</t>
  </si>
  <si>
    <t>3/1/ Neutral Phase Cross Bus</t>
  </si>
  <si>
    <t>AUXMACB</t>
  </si>
  <si>
    <t>DWG Number</t>
  </si>
  <si>
    <t>Bus Hole Center</t>
  </si>
  <si>
    <t>3/1 Phase</t>
  </si>
  <si>
    <t>Bus, Cross Bus, Distribution/Individual Device</t>
  </si>
  <si>
    <t>MAINCB</t>
  </si>
  <si>
    <t>Mounting/Non-Mounting Assemblies</t>
  </si>
  <si>
    <t>DISTCB</t>
  </si>
  <si>
    <t>Assembly No.</t>
  </si>
  <si>
    <t>Bus- Cross Bus Reference Information</t>
  </si>
  <si>
    <t>BUSCENTE</t>
  </si>
  <si>
    <t xml:space="preserve">Bus Rating </t>
  </si>
  <si>
    <t>Device Centers</t>
  </si>
  <si>
    <t>X-Bus Centers</t>
  </si>
  <si>
    <t>SWBDBUS</t>
  </si>
  <si>
    <t>-</t>
  </si>
  <si>
    <t>Bus- Generic, Crossbus, Runbacks, Connectors- RD, Magnum, Pringle</t>
  </si>
  <si>
    <t>GENRISERS</t>
  </si>
  <si>
    <t>Bus Centers</t>
  </si>
  <si>
    <t>GENXBUS</t>
  </si>
  <si>
    <t>GENDCLMTA</t>
  </si>
  <si>
    <t>Device Type</t>
  </si>
  <si>
    <t xml:space="preserve"> Amperage</t>
  </si>
  <si>
    <t>GENDCLMBS</t>
  </si>
  <si>
    <t>Bus Center</t>
  </si>
  <si>
    <t>Family Numbers/ Assembly no.</t>
  </si>
  <si>
    <t>GENDCUMTA</t>
  </si>
  <si>
    <t>GENDCUMTS</t>
  </si>
  <si>
    <t>GENDRLMTA</t>
  </si>
  <si>
    <t>GENDRLMBS</t>
  </si>
  <si>
    <t>GENDRUMTA</t>
  </si>
  <si>
    <t>GENDRUMTS</t>
  </si>
  <si>
    <t>GENNEUTRALXBUS</t>
  </si>
  <si>
    <t>GENNEUTLUGPADS</t>
  </si>
  <si>
    <t>Disconnect</t>
  </si>
  <si>
    <t>Service/Non-Service Entrance</t>
  </si>
  <si>
    <t>Bus Ground</t>
  </si>
  <si>
    <t>GNDBUS</t>
  </si>
  <si>
    <t>Utility</t>
  </si>
  <si>
    <t>GNBUSPLI</t>
  </si>
  <si>
    <t>Bus Capacity</t>
  </si>
  <si>
    <t>Offset/ Gnd Bus Splices</t>
  </si>
  <si>
    <t>Bus Ground (For Cable Pull Sections &amp; Generic Neutral Cross Bus)</t>
  </si>
  <si>
    <t>GND BOND</t>
  </si>
  <si>
    <t>Bus- Neutral, Distribution Section</t>
  </si>
  <si>
    <t>DISECNEU-1</t>
  </si>
  <si>
    <t>Riser Amperage Rating</t>
  </si>
  <si>
    <t>Cross Neut Rating</t>
  </si>
  <si>
    <t>FAFANEU</t>
  </si>
  <si>
    <t>Ameperage</t>
  </si>
  <si>
    <t>Neutral Lugs</t>
  </si>
  <si>
    <t>NEUGFS</t>
  </si>
  <si>
    <t>X-Bus/Chassis Amperage</t>
  </si>
  <si>
    <t>Bus - Neutral, Individual Mount Section</t>
  </si>
  <si>
    <t>MASECNEUT</t>
  </si>
  <si>
    <t>IMSECNEUT</t>
  </si>
  <si>
    <t>Breaker Type</t>
  </si>
  <si>
    <t>Max Breaker Amperage</t>
  </si>
  <si>
    <t>Cable Entry</t>
  </si>
  <si>
    <t>Service Entrance</t>
  </si>
  <si>
    <t>Ground Fault Protection</t>
  </si>
  <si>
    <t>SELNEUT</t>
  </si>
  <si>
    <t>Device and Amp Rating</t>
  </si>
  <si>
    <t>RVMNNEUT</t>
  </si>
  <si>
    <t>Bus -Splice, Cross Bus</t>
  </si>
  <si>
    <t>BUSSPLIC</t>
  </si>
  <si>
    <t>Bus Size</t>
  </si>
  <si>
    <t>Splice Offset</t>
  </si>
  <si>
    <t>BUSSPSI</t>
  </si>
  <si>
    <t>Depth</t>
  </si>
  <si>
    <t>Bus position</t>
  </si>
  <si>
    <t>WFSPLBU</t>
  </si>
  <si>
    <t>3 Wire/1 Wire</t>
  </si>
  <si>
    <t>Chassis</t>
  </si>
  <si>
    <t>CHASBUCO</t>
  </si>
  <si>
    <t>Chassis Rating</t>
  </si>
  <si>
    <t>Cross Bus Rating Amperage</t>
  </si>
  <si>
    <t>Chassis (38X, 50X, 38X Double Feed)</t>
  </si>
  <si>
    <t>CHASSIS</t>
  </si>
  <si>
    <t>Chassis (38X, 50X)</t>
  </si>
  <si>
    <t>Cross Bus present or not</t>
  </si>
  <si>
    <t>CHASSMTG</t>
  </si>
  <si>
    <t>CHASSIS5</t>
  </si>
  <si>
    <t>With/Without Cross Bus Connector</t>
  </si>
  <si>
    <t>Without/ Within CTS</t>
  </si>
  <si>
    <t>CHASSIS3</t>
  </si>
  <si>
    <t>With/Without Cross X-Bus Connector</t>
  </si>
  <si>
    <t>CHASSML</t>
  </si>
  <si>
    <t>With/Without Neutral Sensor</t>
  </si>
  <si>
    <t>Breaker Series Type</t>
  </si>
  <si>
    <t>Chassis Top/Bottom Incoming Neutral/ ML Obsolete</t>
  </si>
  <si>
    <t>CHBUMNBK</t>
  </si>
  <si>
    <t>X Space</t>
  </si>
  <si>
    <t>CHASSISRDBUS</t>
  </si>
  <si>
    <t>Mechanical Lug (750/500MCM)</t>
  </si>
  <si>
    <t>CHASSISFDPWBUS</t>
  </si>
  <si>
    <t xml:space="preserve">Assembly No. </t>
  </si>
  <si>
    <t>Switch Volts</t>
  </si>
  <si>
    <t>CHASSCT</t>
  </si>
  <si>
    <t>CHASSIS BARRIERS</t>
  </si>
  <si>
    <t>X Space to Cover</t>
  </si>
  <si>
    <t>Barrier Combination (22X)</t>
  </si>
  <si>
    <t>Cross Bus Mounting Location</t>
  </si>
  <si>
    <t>NYCHASSIS</t>
  </si>
  <si>
    <t>50X,88X Chassis</t>
  </si>
  <si>
    <t>With/Without Cross Bus</t>
  </si>
  <si>
    <t>NYCHASSIS50</t>
  </si>
  <si>
    <t>Top Feed/Bottom Feed</t>
  </si>
  <si>
    <t>NYCHASSIS38</t>
  </si>
  <si>
    <t>PRLXWBRKT</t>
  </si>
  <si>
    <t>Bracket Length</t>
  </si>
  <si>
    <t>Flat/Bend Bracket</t>
  </si>
  <si>
    <t>Compartments, Metering/ SPD/ Communication</t>
  </si>
  <si>
    <t>CMPANSB</t>
  </si>
  <si>
    <t>DORMTGA</t>
  </si>
  <si>
    <t>With/Without Test Plug</t>
  </si>
  <si>
    <t>Description</t>
  </si>
  <si>
    <t>CMPANCH</t>
  </si>
  <si>
    <t>Space 8X</t>
  </si>
  <si>
    <t>CTEP/PRL</t>
  </si>
  <si>
    <t>IQHARNESS</t>
  </si>
  <si>
    <t>WEBCOMPT</t>
  </si>
  <si>
    <t>Space 11X</t>
  </si>
  <si>
    <t>SPDSWBD</t>
  </si>
  <si>
    <t>Application</t>
  </si>
  <si>
    <t>SPD Rating</t>
  </si>
  <si>
    <t>Connections to Substation Transformers</t>
  </si>
  <si>
    <t>XFMRClosurePlate</t>
  </si>
  <si>
    <t>XFMR vs SWBD depth Difference</t>
  </si>
  <si>
    <t>ODDRYXFMRCONN</t>
  </si>
  <si>
    <t>Flat/Sloped Roof</t>
  </si>
  <si>
    <t>Nema 1/3R</t>
  </si>
  <si>
    <t>ConnectionCovers</t>
  </si>
  <si>
    <t>Section Throat KVA (Left/Right)</t>
  </si>
  <si>
    <t>IDLIQXFMRSTR</t>
  </si>
  <si>
    <t>Indoor Transformer KVA rating</t>
  </si>
  <si>
    <t>LIQXFMRBUS</t>
  </si>
  <si>
    <t>3 Phase/Neutral/Ground Bus</t>
  </si>
  <si>
    <t>Transformer (Left/Right)</t>
  </si>
  <si>
    <t xml:space="preserve">Cross Bus Location </t>
  </si>
  <si>
    <t>PHASEIDTAGS</t>
  </si>
  <si>
    <t>With/Without Neutral Bus</t>
  </si>
  <si>
    <t>Covers- Device, w &amp; w/o Lockoffs, Key Interlock Mountings</t>
  </si>
  <si>
    <t>FIXCVRS</t>
  </si>
  <si>
    <t>Breaker Type description</t>
  </si>
  <si>
    <t>Lockoff type</t>
  </si>
  <si>
    <t>With/Without Lockoff</t>
  </si>
  <si>
    <t>PRCVDOR1</t>
  </si>
  <si>
    <t>Pringle/AF&amp;AFGF Pringle</t>
  </si>
  <si>
    <t>PRCVDOR2</t>
  </si>
  <si>
    <t>PRCVDOR3</t>
  </si>
  <si>
    <t>PRCVDOR4</t>
  </si>
  <si>
    <t>PRCVDOR5</t>
  </si>
  <si>
    <t>PRCVDOR6</t>
  </si>
  <si>
    <t>PRCVDOR7</t>
  </si>
  <si>
    <t>Switch</t>
  </si>
  <si>
    <t>Standard/ with ITI GF, with Single Phase, With ITI GF and Single Phase</t>
  </si>
  <si>
    <t>PRCVDOR8</t>
  </si>
  <si>
    <t>GFR-MTR Compartment and SensorMTGS/ Blown Fuse Indicator</t>
  </si>
  <si>
    <t>GFRCOMP</t>
  </si>
  <si>
    <t>With/Without Pow-r-line i/PRLiX Chassis Ltd.</t>
  </si>
  <si>
    <t>With/Without Test Panel</t>
  </si>
  <si>
    <t>GFRCOMP2</t>
  </si>
  <si>
    <t>1/2 Relay</t>
  </si>
  <si>
    <t xml:space="preserve"> </t>
  </si>
  <si>
    <t>PRCOMBLF</t>
  </si>
  <si>
    <t>With Mini/large Indication Lights</t>
  </si>
  <si>
    <t>IFS - Integrated Facility Switchboard</t>
  </si>
  <si>
    <t>IFSQUICKDISC.xlsx</t>
  </si>
  <si>
    <t>IFSNEUTGRDDISC.xlsx</t>
  </si>
  <si>
    <t>IFSMLO22X.xlsx</t>
  </si>
  <si>
    <t>Bus Rating (Amps)</t>
  </si>
  <si>
    <t>With/Without Connection to Splice</t>
  </si>
  <si>
    <t>IFSXFMRSEL 15-150KVA.xlsx</t>
  </si>
  <si>
    <t>Support Width</t>
  </si>
  <si>
    <t>Seismic/Non-Seismic</t>
  </si>
  <si>
    <t>Extra Sheets need to discuss</t>
  </si>
  <si>
    <t>IFSXFMRSEL 225-300kVA.xlsx</t>
  </si>
  <si>
    <t>IFSTRIM.xlsx</t>
  </si>
  <si>
    <t>Panel Quantity</t>
  </si>
  <si>
    <t>Trim Assemblies- Single/ Door in Door/ PRC limiter</t>
  </si>
  <si>
    <t>IFSDOOR_COVERS.xlsx</t>
  </si>
  <si>
    <t>Transformer KVA</t>
  </si>
  <si>
    <t>IFSPNLMTG.xlsx</t>
  </si>
  <si>
    <t>Lugs Mechanical &amp; Compression Groupings</t>
  </si>
  <si>
    <t>LUGGROUPS</t>
  </si>
  <si>
    <t>500/750 MCM</t>
  </si>
  <si>
    <t>With or Without One hole</t>
  </si>
  <si>
    <t>Copper/Aluminium Cables</t>
  </si>
  <si>
    <t>Magnum Breaker, Mounting Assembly, Cross bus, Line &amp; Load connections, Neutral and CAT Numbers</t>
  </si>
  <si>
    <t>DS-SB CAT BUILDER</t>
  </si>
  <si>
    <t>MAG PXR &amp; PD-SB CAT</t>
  </si>
  <si>
    <t>SUMTER MAG #</t>
  </si>
  <si>
    <t>1 HIGH MAG - FIXED</t>
  </si>
  <si>
    <t>Minimum Depth</t>
  </si>
  <si>
    <t>With/ Without Device Width Cover</t>
  </si>
  <si>
    <t>Distinct Part Names (cover, interlock etc)</t>
  </si>
  <si>
    <t>1 HIGH, 4000A, 3 POLE ONLY NARROW MAG - FIXED</t>
  </si>
  <si>
    <t>1 HIGH MAG - D.O.</t>
  </si>
  <si>
    <t>1 HIGH, 4000A, 3 POLE ONLY NARROW MAG - DRAWOUT</t>
  </si>
  <si>
    <t>Cross bus position</t>
  </si>
  <si>
    <t>2 HIGH MAG - FIXED</t>
  </si>
  <si>
    <t>2  HIGH MAG -D.O.</t>
  </si>
  <si>
    <t>4  HIGH MAG -D.O.</t>
  </si>
  <si>
    <t>Miscellaneous</t>
  </si>
  <si>
    <t>PRLC_HDWR_REF</t>
  </si>
  <si>
    <t>SWBDPKGING</t>
  </si>
  <si>
    <t>LOOSE HARDWARE</t>
  </si>
  <si>
    <t>Type 1/3R</t>
  </si>
  <si>
    <t>number of pieces</t>
  </si>
  <si>
    <t>GO TO SMART SPREADSHEET</t>
  </si>
  <si>
    <t>MTG-ATS</t>
  </si>
  <si>
    <t>ATSMAG</t>
  </si>
  <si>
    <t>Part Name</t>
  </si>
  <si>
    <t>ATS-GE-ZEN</t>
  </si>
  <si>
    <t>MTG- Cross bus, Top/bottom, Distribution/individual device</t>
  </si>
  <si>
    <t>AUXMAMTG</t>
  </si>
  <si>
    <t>WRPCBMTG</t>
  </si>
  <si>
    <t>Cross Bus Height</t>
  </si>
  <si>
    <t>Split/Full Channel</t>
  </si>
  <si>
    <t>MTG- Crurrent Transformer</t>
  </si>
  <si>
    <t>CT MTG</t>
  </si>
  <si>
    <t>Mounting Type(Cross bus, floating, bus)</t>
  </si>
  <si>
    <t>CURRENTTRANSFORMERSCHART.xlsx</t>
  </si>
  <si>
    <t>Amran Catalog No.</t>
  </si>
  <si>
    <t>ITI Catalog No.</t>
  </si>
  <si>
    <t>Falco Catalog No.</t>
  </si>
  <si>
    <t>MTG- Individual Device, Reference Information/Pringle Catalog &amp; MAPICS Description</t>
  </si>
  <si>
    <t>WF-MAIN</t>
  </si>
  <si>
    <t>Max Short Circuit Rating</t>
  </si>
  <si>
    <t>Device Width</t>
  </si>
  <si>
    <t>Device Height</t>
  </si>
  <si>
    <t>WRPMAIN</t>
  </si>
  <si>
    <t>Short Circuit Rating</t>
  </si>
  <si>
    <t>Device Width/ With GFR/ With NEMA</t>
  </si>
  <si>
    <t>Depth Device/With NEMA Util</t>
  </si>
  <si>
    <t>Cross Bus W/O Util and With NEMA Util</t>
  </si>
  <si>
    <t xml:space="preserve">Conduit Space Device Only/ NEMA </t>
  </si>
  <si>
    <t>BKRBUS-1</t>
  </si>
  <si>
    <t xml:space="preserve">Device Type </t>
  </si>
  <si>
    <t>Bus Position Minimum Depth</t>
  </si>
  <si>
    <t>NEMA Utility Depth</t>
  </si>
  <si>
    <t>EUSERC Utility Depth</t>
  </si>
  <si>
    <t>PRINGCAT</t>
  </si>
  <si>
    <t>MTG- Individual Device, Upper and Lower</t>
  </si>
  <si>
    <t>DEVLUCON</t>
  </si>
  <si>
    <t>Lug 500/750 MCM</t>
  </si>
  <si>
    <t>Lug Type (Mech/Burndy)</t>
  </si>
  <si>
    <t>MDMTG</t>
  </si>
  <si>
    <t>Device Mounting Position (Upper/lower/top)</t>
  </si>
  <si>
    <t>MDMTGPG</t>
  </si>
  <si>
    <t>DRAWOUTI</t>
  </si>
  <si>
    <t xml:space="preserve">Substructure Assembly No. </t>
  </si>
  <si>
    <t>Kirk Key/ Crank/Secondary Contacts</t>
  </si>
  <si>
    <t>MTG- Individual Device, Top Stacked</t>
  </si>
  <si>
    <t>SMDMTG</t>
  </si>
  <si>
    <t>Mounting Width</t>
  </si>
  <si>
    <t>RFMPH1</t>
  </si>
  <si>
    <t>X Bus Hole Center</t>
  </si>
  <si>
    <t>Main Assembly/Lugs</t>
  </si>
  <si>
    <t>Number of Drillings</t>
  </si>
  <si>
    <t>Lugs and Pressbolts/Pressbolts only</t>
  </si>
  <si>
    <t>RFMPH2</t>
  </si>
  <si>
    <t>MTG- Individual Stacked Devices</t>
  </si>
  <si>
    <t>SDCONLIN</t>
  </si>
  <si>
    <t>Device Type/Riser Rating</t>
  </si>
  <si>
    <t>Max Device Connection</t>
  </si>
  <si>
    <t>SDLORUBA</t>
  </si>
  <si>
    <t>Device Position (Upper/lower Mount)</t>
  </si>
  <si>
    <t>STDECB</t>
  </si>
  <si>
    <t>UPSTDEMG</t>
  </si>
  <si>
    <t>STKNEUT</t>
  </si>
  <si>
    <t>Device Stacking (Upper/lower)</t>
  </si>
  <si>
    <t>STKRUBK</t>
  </si>
  <si>
    <t>Device Load Runback</t>
  </si>
  <si>
    <t>STKRUBA</t>
  </si>
  <si>
    <t>Dwg No.</t>
  </si>
  <si>
    <t>THSDLRM</t>
  </si>
  <si>
    <t>THSDNRB</t>
  </si>
  <si>
    <t>Lug Type (Mech/CRIMP)</t>
  </si>
  <si>
    <t>THSDLRB</t>
  </si>
  <si>
    <t>TRIALLI</t>
  </si>
  <si>
    <t>MTG- NG Drawout Assemblies</t>
  </si>
  <si>
    <t>NGDOBB</t>
  </si>
  <si>
    <t>SUMTER NRX-NF #</t>
  </si>
  <si>
    <t>SUMTER NRX-RF #</t>
  </si>
  <si>
    <t xml:space="preserve"> NRX Breaker (3000A Max.), Mounting Assembly, Cross bus, line &amp; Load Connections, Neutral and CAT Numbers</t>
  </si>
  <si>
    <t>NRX-NF - FIXED</t>
  </si>
  <si>
    <t>Breaker Fixing point( Single and Twin mount Fixed, Twin mount fixed, Quad mount fixed)</t>
  </si>
  <si>
    <t>4/3 wire</t>
  </si>
  <si>
    <r>
      <t>NRX-</t>
    </r>
    <r>
      <rPr>
        <b/>
        <sz val="10"/>
        <color theme="1"/>
        <rFont val="Arial"/>
        <family val="2"/>
      </rPr>
      <t>NF</t>
    </r>
    <r>
      <rPr>
        <sz val="10"/>
        <color theme="1"/>
        <rFont val="Arial"/>
        <family val="2"/>
      </rPr>
      <t xml:space="preserve"> - DRAWOUT </t>
    </r>
    <r>
      <rPr>
        <b/>
        <sz val="10"/>
        <color theme="1"/>
        <rFont val="Arial"/>
        <family val="2"/>
      </rPr>
      <t xml:space="preserve">NOT AVAILABLE </t>
    </r>
  </si>
  <si>
    <t>1 HIGH NRX-RF - FIXED</t>
  </si>
  <si>
    <t>Mounting Position</t>
  </si>
  <si>
    <t>A phase/ B Phase/ Neutral</t>
  </si>
  <si>
    <t>1 HIGH NRX-RF - D.O.</t>
  </si>
  <si>
    <t>2 HIGH NRX-RF - FIXED</t>
  </si>
  <si>
    <t>2 HIGH NRX-RF - D.O.</t>
  </si>
  <si>
    <t>4  HIGH NRX-RF -D.O.</t>
  </si>
  <si>
    <t>SCMM/ CMM Switchboards (Grand Prairie)</t>
  </si>
  <si>
    <t>SCMM</t>
  </si>
  <si>
    <t>Socket Type</t>
  </si>
  <si>
    <t>Sequence</t>
  </si>
  <si>
    <t>Indoor/Outdoor</t>
  </si>
  <si>
    <t>Part (Pull Switches/Approved Socket Bases/ Meter Socket Application)</t>
  </si>
  <si>
    <t>Poles</t>
  </si>
  <si>
    <t>Max Voltage</t>
  </si>
  <si>
    <t>CMMUGPS1</t>
  </si>
  <si>
    <t>CMMUGPS2</t>
  </si>
  <si>
    <t>Utility Name</t>
  </si>
  <si>
    <t>SCMM EAST COAST</t>
  </si>
  <si>
    <t>Structures- Type 1 &amp; 3R Covers, Barriers, Door Extensions, Doors, Lifting Angles</t>
  </si>
  <si>
    <t>BASICSTR</t>
  </si>
  <si>
    <t>Nema 3R/1R</t>
  </si>
  <si>
    <t>WPFLAT</t>
  </si>
  <si>
    <t>Height</t>
  </si>
  <si>
    <t xml:space="preserve">LH Door (20W,26W) </t>
  </si>
  <si>
    <t>RH Door (20W, 26W)</t>
  </si>
  <si>
    <t>WPFLAT Material</t>
  </si>
  <si>
    <t>WPSLOPE</t>
  </si>
  <si>
    <t>WP Slope Material</t>
  </si>
  <si>
    <t>PULLBOX</t>
  </si>
  <si>
    <t>Pullbox Height</t>
  </si>
  <si>
    <t>BLKCOV</t>
  </si>
  <si>
    <t>Blank Cover Height</t>
  </si>
  <si>
    <t>BOTCLOPL</t>
  </si>
  <si>
    <t>Bus Location</t>
  </si>
  <si>
    <t>AUXSEC</t>
  </si>
  <si>
    <t>ENDCOVER</t>
  </si>
  <si>
    <t>Seismic/ Non-Seismic</t>
  </si>
  <si>
    <t>Left Hand/Right Hand</t>
  </si>
  <si>
    <t>Flat Roof/Sloped Roof</t>
  </si>
  <si>
    <t>REARCOVER</t>
  </si>
  <si>
    <t>SEVENTCO</t>
  </si>
  <si>
    <t>Splice Bus bar number</t>
  </si>
  <si>
    <t>SWBD Type</t>
  </si>
  <si>
    <t>TOPCOVER</t>
  </si>
  <si>
    <t>LFTASSY</t>
  </si>
  <si>
    <t>SWBDFLCH</t>
  </si>
  <si>
    <t>400- 1000A Compartment</t>
  </si>
  <si>
    <t>WCVTBAR1</t>
  </si>
  <si>
    <t>NEUTBARR-1</t>
  </si>
  <si>
    <t>LUGDRILL10</t>
  </si>
  <si>
    <t>EUSERC Drill Number</t>
  </si>
  <si>
    <t>WCUTB91B</t>
  </si>
  <si>
    <t>Application (A/B/C)</t>
  </si>
  <si>
    <t>WCUFDR-A</t>
  </si>
  <si>
    <t>PNM1000MAX</t>
  </si>
  <si>
    <t>IDAHO1000MAX</t>
  </si>
  <si>
    <t>WCAUXNT-A</t>
  </si>
  <si>
    <t>WCCTAUX2</t>
  </si>
  <si>
    <t>3/4 Wire</t>
  </si>
  <si>
    <t>WCLDNEUT</t>
  </si>
  <si>
    <t>WCAUXBAR</t>
  </si>
  <si>
    <t>WCBONDA</t>
  </si>
  <si>
    <t>Breaker Name</t>
  </si>
  <si>
    <t>WCUGPAUX</t>
  </si>
  <si>
    <t>WCUGPRIS</t>
  </si>
  <si>
    <t>WCUGPLLG</t>
  </si>
  <si>
    <t>WCUTO22X</t>
  </si>
  <si>
    <t>WCUTO22XMAIN</t>
  </si>
  <si>
    <t>1200-5000 A Compartment</t>
  </si>
  <si>
    <t>WCCTTOHF-A</t>
  </si>
  <si>
    <t>WCCTTOHF-B</t>
  </si>
  <si>
    <t>WCRBAR2A</t>
  </si>
  <si>
    <t>WCUTLNTA</t>
  </si>
  <si>
    <t>WCTUGP1A</t>
  </si>
  <si>
    <t>WCTUGP1B</t>
  </si>
  <si>
    <t>WCTAUX2A</t>
  </si>
  <si>
    <t>WCTAUX3A</t>
  </si>
  <si>
    <t>Aux Bus/Main Bus</t>
  </si>
  <si>
    <t>WCAUXNT1</t>
  </si>
  <si>
    <t>WCBOND1B</t>
  </si>
  <si>
    <t>WCRBARRA</t>
  </si>
  <si>
    <t>WCRBARRB</t>
  </si>
  <si>
    <t>WCTREV1A</t>
  </si>
  <si>
    <t>WCTREV1B</t>
  </si>
  <si>
    <t>WCRFRV1A</t>
  </si>
  <si>
    <t>WCRFAUXC</t>
  </si>
  <si>
    <t>WCRFLUGA</t>
  </si>
  <si>
    <t>Drilling Number</t>
  </si>
  <si>
    <t>Heat Test/ Density</t>
  </si>
  <si>
    <t>UGPSORDER-A</t>
  </si>
  <si>
    <t>UGPSORDER-B</t>
  </si>
  <si>
    <t>Bus Type</t>
  </si>
  <si>
    <t>Number of Pressbolts</t>
  </si>
  <si>
    <t>Pressbolts only/ Pressbolts and Lugs</t>
  </si>
  <si>
    <t>UGPORD2</t>
  </si>
  <si>
    <t>UGPORD3</t>
  </si>
  <si>
    <t>WCTAUX5A</t>
  </si>
  <si>
    <t>WCLUGSH1</t>
  </si>
  <si>
    <t>Utilities- NEMA Metering Compartment</t>
  </si>
  <si>
    <t>UTILMTG</t>
  </si>
  <si>
    <t>CT Type</t>
  </si>
  <si>
    <t>Top/ Bottom Mount</t>
  </si>
  <si>
    <t>UCTAUXCON</t>
  </si>
  <si>
    <t>CTCONMDU</t>
  </si>
  <si>
    <t>Utility Compartment Type</t>
  </si>
  <si>
    <t>UCTLUCON</t>
  </si>
  <si>
    <t>Utility Amperage</t>
  </si>
  <si>
    <t>Lug (500/750 MCM)</t>
  </si>
  <si>
    <t>With/ Without MTG Support</t>
  </si>
  <si>
    <t>UMDCONCT</t>
  </si>
  <si>
    <t>LCTCONCB</t>
  </si>
  <si>
    <t>Cross Bus Centers</t>
  </si>
  <si>
    <t>UTILBAR</t>
  </si>
  <si>
    <t>MTG on Rear Corner/WRP Channel</t>
  </si>
  <si>
    <t>Utilities- Special Metering Components</t>
  </si>
  <si>
    <t>CTSPCM</t>
  </si>
  <si>
    <t>Chassis/Main Device/ Aux Bus B or D/Neutral/ Without Neutral</t>
  </si>
  <si>
    <t>CTALLIANT</t>
  </si>
  <si>
    <t>With/ Without Lugs</t>
  </si>
  <si>
    <t>CTAMEREN</t>
  </si>
  <si>
    <t>Compact Type</t>
  </si>
  <si>
    <t>CTATLCTY</t>
  </si>
  <si>
    <t>CTBGE</t>
  </si>
  <si>
    <t>Top/Bottom Incoming Cable</t>
  </si>
  <si>
    <t>CTNSTAR</t>
  </si>
  <si>
    <t>CTCHEYLFP</t>
  </si>
  <si>
    <t>CTCINGAS</t>
  </si>
  <si>
    <t>Top mount Top/bottom Incoming</t>
  </si>
  <si>
    <t>Application B/C</t>
  </si>
  <si>
    <t>CTNAPERVL</t>
  </si>
  <si>
    <t>CTCOMMED</t>
  </si>
  <si>
    <t>With/Without Lugs</t>
  </si>
  <si>
    <t>3/4 phase</t>
  </si>
  <si>
    <t>CTCONED</t>
  </si>
  <si>
    <t>Top Mount Top/Bottom Incoming</t>
  </si>
  <si>
    <t>Con Ed/ NY Code Applicants</t>
  </si>
  <si>
    <t>CTDP&amp;L</t>
  </si>
  <si>
    <t>CTDETED</t>
  </si>
  <si>
    <t>Applications A,B,D</t>
  </si>
  <si>
    <t>CTDUQUESNE</t>
  </si>
  <si>
    <t>Compt Type</t>
  </si>
  <si>
    <t>Top Mount / Bottom Mount</t>
  </si>
  <si>
    <t>CTGAPOWER</t>
  </si>
  <si>
    <t>CTINP&amp;L</t>
  </si>
  <si>
    <t>Top Mount W/UGPS/Pullbox/Without Pullbox/ Bottom Incoming</t>
  </si>
  <si>
    <t>CTJCPL</t>
  </si>
  <si>
    <t>CTPSEGLI</t>
  </si>
  <si>
    <t>Top Mount W/UGPS/ Bottom Incoming</t>
  </si>
  <si>
    <t>Applications A1,C,A2,A,B2,C</t>
  </si>
  <si>
    <t>CTLG&amp;E</t>
  </si>
  <si>
    <t>CTMADG&amp;E</t>
  </si>
  <si>
    <t>Cross Bus position</t>
  </si>
  <si>
    <t>CTNATLGRID</t>
  </si>
  <si>
    <t>Closure Type</t>
  </si>
  <si>
    <t>CTMONPWR</t>
  </si>
  <si>
    <t>CTNATLGRID-NIMO</t>
  </si>
  <si>
    <t>Top/ Bottom Incoming</t>
  </si>
  <si>
    <t>CTNOEAST</t>
  </si>
  <si>
    <t>CTNOSPWR</t>
  </si>
  <si>
    <t>CTNYSE&amp;G</t>
  </si>
  <si>
    <t>CTOMAHA</t>
  </si>
  <si>
    <t>CTORANGE&amp;ROCKLAND</t>
  </si>
  <si>
    <t>Top/Bottom Mount</t>
  </si>
  <si>
    <t>CTPECO</t>
  </si>
  <si>
    <t>Compartment Type</t>
  </si>
  <si>
    <t>CTPEPCO</t>
  </si>
  <si>
    <t>Top/Bottom Feed</t>
  </si>
  <si>
    <t>CTPP&amp;L</t>
  </si>
  <si>
    <t>With Aux/Aux and Main Bus Support</t>
  </si>
  <si>
    <t>CTPSEGNJ</t>
  </si>
  <si>
    <t>CTXCELCOL</t>
  </si>
  <si>
    <t>MTG on Rear Corner/WRP Channels</t>
  </si>
  <si>
    <t>CTDOMINION</t>
  </si>
  <si>
    <t>CTWEENERGIES</t>
  </si>
  <si>
    <t>CTWISPUB</t>
  </si>
  <si>
    <t>CTPSOFNH</t>
  </si>
  <si>
    <t>CTNEMA</t>
  </si>
  <si>
    <t>METEDMTG</t>
  </si>
  <si>
    <t>CTNES</t>
  </si>
  <si>
    <t>CTENTERGY</t>
  </si>
  <si>
    <t>CTCPSENERGY</t>
  </si>
  <si>
    <t>Voltage</t>
  </si>
  <si>
    <t>QPS Requirements for PRLX</t>
  </si>
  <si>
    <t>PRLXQPS</t>
  </si>
  <si>
    <t>Switch Catalog No.</t>
  </si>
  <si>
    <t>Fuse Quantity</t>
  </si>
  <si>
    <t>Fuse Size</t>
  </si>
  <si>
    <t>Fuse Catalog No.</t>
  </si>
  <si>
    <t>Fuse Amp Rating</t>
  </si>
  <si>
    <t>`</t>
  </si>
  <si>
    <t>Customer Metering</t>
  </si>
  <si>
    <t>CUSTOMER METERING INSTRUMENT DOOR / BACK - OF - DOOR ASSEMBLY</t>
  </si>
  <si>
    <t>BLANKPANSDOORS.xlsx</t>
  </si>
  <si>
    <t>Enclosure</t>
  </si>
  <si>
    <t>Generic Cross Bus and Mountings</t>
  </si>
  <si>
    <t>GENERIC CROSS BUS AND MOUNTINGS</t>
  </si>
  <si>
    <t xml:space="preserve">Bus Center </t>
  </si>
  <si>
    <t>HPX- High Pressure Contact Switch (800-3000A)</t>
  </si>
  <si>
    <t>HPX SWITCH 800-3000A</t>
  </si>
  <si>
    <t>Device Feed</t>
  </si>
  <si>
    <t>Input/Output Panel (800-3000A)</t>
  </si>
  <si>
    <t>INPUTOUTPUT PANEL 800-3000A</t>
  </si>
  <si>
    <t>Lug(500/750 MCM)</t>
  </si>
  <si>
    <t>Type 1&amp;3R</t>
  </si>
  <si>
    <t>Instant Switchboard (400-800A)</t>
  </si>
  <si>
    <t>INSTANT SWITCHBOARD</t>
  </si>
  <si>
    <t>SWDB Catalog No.</t>
  </si>
  <si>
    <t>Main Device Catalog No.</t>
  </si>
  <si>
    <t>Magnum (800-4000A)</t>
  </si>
  <si>
    <t>MAGNUM BREAKER</t>
  </si>
  <si>
    <t>PD6/RD/RG (1600-2500A)</t>
  </si>
  <si>
    <t>PD6-R FRAME BREAKER</t>
  </si>
  <si>
    <t>PD-RF (800-3000A)</t>
  </si>
  <si>
    <t>PD-RF BREAKER</t>
  </si>
  <si>
    <t>Pringle Bolted Pressure Switch</t>
  </si>
  <si>
    <t>PRINGLE SWITCH</t>
  </si>
  <si>
    <t>KEY INTERLOCK SELECTION</t>
  </si>
  <si>
    <t>MIMICBUS</t>
  </si>
  <si>
    <t>ELECTRICAL COMP</t>
  </si>
  <si>
    <t>EXERTHERM INTEGRATION - SWBD</t>
  </si>
  <si>
    <t>MICROSOFT SPECIFIC DESIGNS</t>
  </si>
  <si>
    <t>Unique Parameters</t>
  </si>
  <si>
    <t>Current Extraction Coverage</t>
  </si>
  <si>
    <t>Bus Rating</t>
  </si>
  <si>
    <t>NEMA 1/3R</t>
  </si>
  <si>
    <t>Chassis Rating (Amperage)</t>
  </si>
  <si>
    <t>Number of Lugs</t>
  </si>
  <si>
    <t>Service/Non-Service Enterance</t>
  </si>
  <si>
    <t>3/1 Phase (3/1)</t>
  </si>
  <si>
    <t>3/1 PhaseCONN</t>
  </si>
  <si>
    <t>3/1/ Neutral 3/1 Phase Cross Bus</t>
  </si>
  <si>
    <t>3 3/1 Phase/Neutral/Ground Bus</t>
  </si>
  <si>
    <t>3/1 PhaseIDTAGS</t>
  </si>
  <si>
    <t>Standard/ with ITI GF, with Single 3/1 Phase, With ITI GF and Single 3/1 Phase</t>
  </si>
  <si>
    <t>A 3/1 Phase/ B 3/1 Phase/ Neutral</t>
  </si>
  <si>
    <t>3/4 3/1 Phase</t>
  </si>
  <si>
    <t>Possiblity Analysis</t>
  </si>
  <si>
    <t>Non-Available Parameters</t>
  </si>
  <si>
    <t>Substructure Assembly No.</t>
  </si>
  <si>
    <t>Total List of Parameters</t>
  </si>
  <si>
    <t>Percentage of Total</t>
  </si>
  <si>
    <t>Parameter</t>
  </si>
  <si>
    <t>Data Point1</t>
  </si>
  <si>
    <t>Data Point2</t>
  </si>
  <si>
    <t>Data Point3</t>
  </si>
  <si>
    <t>Data Point4</t>
  </si>
  <si>
    <t>Data Point5</t>
  </si>
  <si>
    <t>Data Point6</t>
  </si>
  <si>
    <t>Data Point7</t>
  </si>
  <si>
    <t>Data Point8</t>
  </si>
  <si>
    <t>Data Point9</t>
  </si>
  <si>
    <t>Data Point10</t>
  </si>
  <si>
    <t>Non-Available Datapoints</t>
  </si>
  <si>
    <t>Bus Splice Cross Bus</t>
  </si>
  <si>
    <t>Name</t>
  </si>
  <si>
    <t>Code</t>
  </si>
  <si>
    <t>Parameter 1</t>
  </si>
  <si>
    <t>Parameter 2</t>
  </si>
  <si>
    <t>Parameter 3</t>
  </si>
  <si>
    <t>Parameter 4</t>
  </si>
  <si>
    <t>Parameter 5</t>
  </si>
  <si>
    <t>Test</t>
  </si>
  <si>
    <t xml:space="preserve">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</si>
</sst>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/>
    </xf>
    <xf numFmtId="0" fontId="0" fillId="6" borderId="0" xfId="0" applyFill="1"/>
    <xf numFmtId="0" fontId="0" fillId="7" borderId="0" xfId="0" applyFill="1"/>
    <xf numFmtId="0" fontId="3" fillId="7" borderId="3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0" fillId="8" borderId="0" xfId="0" applyFill="1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/>
    <xf numFmtId="0" fontId="0" fillId="9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B845-8F43-4F0D-9F6F-E4EA8EFE1815}">
  <dimension ref="A1:Z268"/>
  <sheetViews>
    <sheetView tabSelected="1" topLeftCell="A10" zoomScale="70" zoomScaleNormal="70" workbookViewId="0">
      <selection activeCell="E30" sqref="E30"/>
    </sheetView>
  </sheetViews>
  <sheetFormatPr defaultRowHeight="14.4" x14ac:dyDescent="0.3"/>
  <cols>
    <col min="1" max="1" width="65.44140625" bestFit="1" customWidth="1"/>
    <col min="2" max="2" width="35.77734375" bestFit="1" customWidth="1"/>
    <col min="3" max="3" width="34.44140625" bestFit="1" customWidth="1"/>
    <col min="4" max="4" width="56.44140625" bestFit="1" customWidth="1"/>
    <col min="5" max="5" width="44.44140625" bestFit="1" customWidth="1"/>
    <col min="6" max="6" width="56.44140625" bestFit="1" customWidth="1"/>
    <col min="7" max="7" width="76.88671875" bestFit="1" customWidth="1"/>
    <col min="8" max="8" width="61.6640625" bestFit="1" customWidth="1"/>
    <col min="9" max="9" width="46.21875" bestFit="1" customWidth="1"/>
    <col min="10" max="10" width="32.6640625" bestFit="1" customWidth="1"/>
    <col min="11" max="11" width="14.33203125" bestFit="1" customWidth="1"/>
  </cols>
  <sheetData>
    <row r="1" spans="1:11" x14ac:dyDescent="0.3">
      <c r="A1" t="s">
        <v>575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581</v>
      </c>
      <c r="H1" t="s">
        <v>582</v>
      </c>
      <c r="I1" t="s">
        <v>583</v>
      </c>
      <c r="J1" t="s">
        <v>584</v>
      </c>
      <c r="K1" t="s">
        <v>585</v>
      </c>
    </row>
    <row r="2" spans="1:11" x14ac:dyDescent="0.3">
      <c r="A2" t="s">
        <v>1</v>
      </c>
      <c r="B2" t="s">
        <v>2</v>
      </c>
      <c r="C2" t="s">
        <v>3</v>
      </c>
      <c r="D2" t="s">
        <v>595</v>
      </c>
      <c r="E2" t="s">
        <v>5</v>
      </c>
      <c r="F2" t="s">
        <v>6</v>
      </c>
      <c r="G2" t="s">
        <v>17</v>
      </c>
      <c r="H2" t="s">
        <v>8</v>
      </c>
    </row>
    <row r="3" spans="1:11" x14ac:dyDescent="0.3">
      <c r="A3" t="s">
        <v>9</v>
      </c>
      <c r="B3" t="s">
        <v>2</v>
      </c>
      <c r="C3" t="s">
        <v>3</v>
      </c>
      <c r="D3" t="s">
        <v>595</v>
      </c>
      <c r="E3" t="s">
        <v>5</v>
      </c>
      <c r="F3" t="s">
        <v>6</v>
      </c>
      <c r="G3" t="s">
        <v>17</v>
      </c>
      <c r="H3" t="s">
        <v>8</v>
      </c>
    </row>
    <row r="4" spans="1:11" x14ac:dyDescent="0.3">
      <c r="A4" s="1" t="s">
        <v>11</v>
      </c>
      <c r="B4" t="s">
        <v>12</v>
      </c>
      <c r="C4" t="s">
        <v>13</v>
      </c>
      <c r="D4" t="s">
        <v>3</v>
      </c>
      <c r="E4" t="s">
        <v>595</v>
      </c>
      <c r="F4" t="s">
        <v>14</v>
      </c>
      <c r="G4" t="s">
        <v>15</v>
      </c>
    </row>
    <row r="5" spans="1:11" x14ac:dyDescent="0.3">
      <c r="A5" s="1" t="s">
        <v>16</v>
      </c>
      <c r="B5" t="s">
        <v>17</v>
      </c>
      <c r="C5" t="s">
        <v>18</v>
      </c>
      <c r="D5" t="s">
        <v>13</v>
      </c>
      <c r="E5" t="s">
        <v>595</v>
      </c>
      <c r="F5" t="s">
        <v>19</v>
      </c>
      <c r="G5" t="s">
        <v>14</v>
      </c>
      <c r="H5" t="s">
        <v>15</v>
      </c>
    </row>
    <row r="6" spans="1:11" x14ac:dyDescent="0.3">
      <c r="A6" s="1" t="s">
        <v>20</v>
      </c>
      <c r="B6" t="s">
        <v>21</v>
      </c>
      <c r="C6" t="s">
        <v>595</v>
      </c>
      <c r="D6" t="s">
        <v>14</v>
      </c>
      <c r="E6" t="s">
        <v>15</v>
      </c>
    </row>
    <row r="7" spans="1:11" x14ac:dyDescent="0.3">
      <c r="A7" t="s">
        <v>23</v>
      </c>
      <c r="B7" t="s">
        <v>12</v>
      </c>
      <c r="C7" t="s">
        <v>12</v>
      </c>
      <c r="D7" t="s">
        <v>24</v>
      </c>
      <c r="E7" t="s">
        <v>25</v>
      </c>
      <c r="F7" t="s">
        <v>595</v>
      </c>
      <c r="G7" t="s">
        <v>14</v>
      </c>
      <c r="H7" t="s">
        <v>15</v>
      </c>
    </row>
    <row r="8" spans="1:11" x14ac:dyDescent="0.3">
      <c r="A8" t="s">
        <v>26</v>
      </c>
      <c r="B8" t="s">
        <v>12</v>
      </c>
      <c r="C8" t="s">
        <v>24</v>
      </c>
      <c r="D8" t="s">
        <v>25</v>
      </c>
      <c r="E8" t="s">
        <v>595</v>
      </c>
      <c r="F8" t="s">
        <v>17</v>
      </c>
      <c r="G8" t="s">
        <v>14</v>
      </c>
      <c r="H8" t="s">
        <v>15</v>
      </c>
      <c r="I8" t="s">
        <v>27</v>
      </c>
    </row>
    <row r="9" spans="1:11" x14ac:dyDescent="0.3">
      <c r="A9" t="s">
        <v>28</v>
      </c>
      <c r="B9" t="s">
        <v>29</v>
      </c>
      <c r="C9" t="s">
        <v>17</v>
      </c>
      <c r="D9" t="s">
        <v>13</v>
      </c>
      <c r="E9" t="s">
        <v>30</v>
      </c>
      <c r="F9" t="s">
        <v>31</v>
      </c>
    </row>
    <row r="10" spans="1:11" x14ac:dyDescent="0.3">
      <c r="A10" t="s">
        <v>32</v>
      </c>
      <c r="B10" t="s">
        <v>29</v>
      </c>
      <c r="C10" t="s">
        <v>30</v>
      </c>
      <c r="D10" t="s">
        <v>31</v>
      </c>
      <c r="F10" t="s">
        <v>33</v>
      </c>
    </row>
    <row r="11" spans="1:11" x14ac:dyDescent="0.3">
      <c r="A11" t="s">
        <v>34</v>
      </c>
      <c r="B11" t="s">
        <v>35</v>
      </c>
      <c r="C11" t="s">
        <v>8</v>
      </c>
      <c r="D11" t="s">
        <v>36</v>
      </c>
      <c r="E11" t="s">
        <v>14</v>
      </c>
      <c r="F11" t="s">
        <v>37</v>
      </c>
      <c r="G11" t="s">
        <v>15</v>
      </c>
    </row>
    <row r="12" spans="1:11" x14ac:dyDescent="0.3">
      <c r="A12" t="s">
        <v>39</v>
      </c>
      <c r="B12" t="s">
        <v>37</v>
      </c>
      <c r="C12" t="s">
        <v>40</v>
      </c>
      <c r="D12" t="s">
        <v>595</v>
      </c>
      <c r="E12" t="s">
        <v>21</v>
      </c>
      <c r="F12" t="s">
        <v>41</v>
      </c>
    </row>
    <row r="13" spans="1:11" x14ac:dyDescent="0.3">
      <c r="A13" t="s">
        <v>42</v>
      </c>
      <c r="B13" t="s">
        <v>43</v>
      </c>
      <c r="C13" t="s">
        <v>18</v>
      </c>
      <c r="D13" t="s">
        <v>595</v>
      </c>
      <c r="E13" t="s">
        <v>14</v>
      </c>
      <c r="F13" t="s">
        <v>37</v>
      </c>
      <c r="G13" t="s">
        <v>44</v>
      </c>
      <c r="H13" t="s">
        <v>3</v>
      </c>
    </row>
    <row r="14" spans="1:11" x14ac:dyDescent="0.3">
      <c r="A14" t="s">
        <v>47</v>
      </c>
      <c r="B14" t="s">
        <v>29</v>
      </c>
      <c r="C14" t="s">
        <v>44</v>
      </c>
      <c r="D14" t="s">
        <v>37</v>
      </c>
      <c r="E14" t="s">
        <v>595</v>
      </c>
      <c r="F14" t="s">
        <v>18</v>
      </c>
      <c r="G14" t="s">
        <v>14</v>
      </c>
      <c r="H14" t="s">
        <v>48</v>
      </c>
    </row>
    <row r="15" spans="1:11" x14ac:dyDescent="0.3">
      <c r="A15" t="s">
        <v>49</v>
      </c>
      <c r="B15" t="s">
        <v>37</v>
      </c>
      <c r="C15" t="s">
        <v>18</v>
      </c>
      <c r="D15" t="s">
        <v>595</v>
      </c>
      <c r="E15" t="s">
        <v>14</v>
      </c>
      <c r="F15" t="s">
        <v>50</v>
      </c>
    </row>
    <row r="16" spans="1:11" x14ac:dyDescent="0.3">
      <c r="A16" t="s">
        <v>52</v>
      </c>
      <c r="B16" t="s">
        <v>53</v>
      </c>
      <c r="C16" t="s">
        <v>54</v>
      </c>
      <c r="D16" t="s">
        <v>55</v>
      </c>
      <c r="E16" t="s">
        <v>18</v>
      </c>
      <c r="F16" t="s">
        <v>15</v>
      </c>
    </row>
    <row r="17" spans="1:9" ht="14.4" customHeight="1" x14ac:dyDescent="0.3">
      <c r="A17" s="5" t="s">
        <v>56</v>
      </c>
      <c r="B17" s="5" t="s">
        <v>57</v>
      </c>
      <c r="C17" s="5"/>
      <c r="D17" s="5"/>
      <c r="E17" s="5"/>
      <c r="F17" s="5"/>
      <c r="G17" s="5"/>
    </row>
    <row r="18" spans="1:9" x14ac:dyDescent="0.3">
      <c r="A18" t="s">
        <v>59</v>
      </c>
      <c r="B18" t="s">
        <v>37</v>
      </c>
      <c r="C18" t="s">
        <v>14</v>
      </c>
      <c r="D18" t="s">
        <v>595</v>
      </c>
      <c r="E18" t="s">
        <v>3</v>
      </c>
      <c r="F18" t="s">
        <v>60</v>
      </c>
    </row>
    <row r="19" spans="1:9" x14ac:dyDescent="0.3">
      <c r="A19" t="s">
        <v>61</v>
      </c>
      <c r="B19" t="s">
        <v>60</v>
      </c>
      <c r="C19" t="s">
        <v>37</v>
      </c>
      <c r="D19" t="s">
        <v>595</v>
      </c>
      <c r="E19" t="s">
        <v>14</v>
      </c>
    </row>
    <row r="20" spans="1:9" x14ac:dyDescent="0.3">
      <c r="A20" t="s">
        <v>62</v>
      </c>
      <c r="B20" t="s">
        <v>60</v>
      </c>
      <c r="C20" t="s">
        <v>595</v>
      </c>
      <c r="D20" t="s">
        <v>14</v>
      </c>
      <c r="E20" t="s">
        <v>3</v>
      </c>
      <c r="F20" t="s">
        <v>63</v>
      </c>
      <c r="G20" t="s">
        <v>64</v>
      </c>
    </row>
    <row r="21" spans="1:9" x14ac:dyDescent="0.3">
      <c r="A21" t="s">
        <v>65</v>
      </c>
      <c r="B21" t="s">
        <v>63</v>
      </c>
      <c r="C21" t="s">
        <v>66</v>
      </c>
      <c r="D21" t="s">
        <v>67</v>
      </c>
      <c r="E21" t="s">
        <v>596</v>
      </c>
      <c r="F21" t="s">
        <v>14</v>
      </c>
      <c r="G21" t="s">
        <v>3</v>
      </c>
    </row>
    <row r="22" spans="1:9" x14ac:dyDescent="0.3">
      <c r="A22" t="s">
        <v>68</v>
      </c>
      <c r="B22" t="s">
        <v>63</v>
      </c>
      <c r="C22" t="s">
        <v>60</v>
      </c>
      <c r="D22" t="s">
        <v>67</v>
      </c>
      <c r="E22" t="s">
        <v>595</v>
      </c>
      <c r="F22" t="s">
        <v>14</v>
      </c>
      <c r="G22" t="s">
        <v>3</v>
      </c>
    </row>
    <row r="23" spans="1:9" x14ac:dyDescent="0.3">
      <c r="A23" t="s">
        <v>69</v>
      </c>
      <c r="B23" t="s">
        <v>63</v>
      </c>
      <c r="C23" t="s">
        <v>66</v>
      </c>
      <c r="D23" t="s">
        <v>67</v>
      </c>
      <c r="E23" t="s">
        <v>595</v>
      </c>
      <c r="F23" t="s">
        <v>14</v>
      </c>
      <c r="G23" t="s">
        <v>3</v>
      </c>
    </row>
    <row r="24" spans="1:9" x14ac:dyDescent="0.3">
      <c r="A24" t="s">
        <v>70</v>
      </c>
      <c r="B24" t="s">
        <v>63</v>
      </c>
      <c r="C24" t="s">
        <v>66</v>
      </c>
      <c r="D24" t="s">
        <v>67</v>
      </c>
      <c r="E24" t="s">
        <v>595</v>
      </c>
      <c r="F24" t="s">
        <v>14</v>
      </c>
      <c r="G24" t="s">
        <v>3</v>
      </c>
    </row>
    <row r="25" spans="1:9" x14ac:dyDescent="0.3">
      <c r="A25" t="s">
        <v>71</v>
      </c>
      <c r="B25" t="s">
        <v>63</v>
      </c>
      <c r="C25" t="s">
        <v>66</v>
      </c>
      <c r="D25" t="s">
        <v>67</v>
      </c>
      <c r="E25" t="s">
        <v>595</v>
      </c>
      <c r="F25" t="s">
        <v>14</v>
      </c>
      <c r="G25" t="s">
        <v>3</v>
      </c>
    </row>
    <row r="26" spans="1:9" x14ac:dyDescent="0.3">
      <c r="A26" t="s">
        <v>72</v>
      </c>
      <c r="B26" t="s">
        <v>63</v>
      </c>
      <c r="C26" t="s">
        <v>66</v>
      </c>
      <c r="D26" t="s">
        <v>67</v>
      </c>
      <c r="E26" t="s">
        <v>595</v>
      </c>
      <c r="F26" t="s">
        <v>14</v>
      </c>
      <c r="G26" t="s">
        <v>3</v>
      </c>
    </row>
    <row r="27" spans="1:9" x14ac:dyDescent="0.3">
      <c r="A27" t="s">
        <v>73</v>
      </c>
      <c r="B27" t="s">
        <v>63</v>
      </c>
      <c r="C27" t="s">
        <v>66</v>
      </c>
      <c r="D27" t="s">
        <v>67</v>
      </c>
      <c r="E27" t="s">
        <v>595</v>
      </c>
      <c r="F27" t="s">
        <v>14</v>
      </c>
      <c r="G27" t="s">
        <v>3</v>
      </c>
    </row>
    <row r="28" spans="1:9" x14ac:dyDescent="0.3">
      <c r="A28" t="s">
        <v>74</v>
      </c>
      <c r="B28" t="s">
        <v>40</v>
      </c>
      <c r="C28" t="s">
        <v>37</v>
      </c>
      <c r="D28" t="s">
        <v>595</v>
      </c>
      <c r="E28" t="s">
        <v>14</v>
      </c>
      <c r="F28" t="s">
        <v>50</v>
      </c>
    </row>
    <row r="29" spans="1:9" x14ac:dyDescent="0.3">
      <c r="A29" t="s">
        <v>75</v>
      </c>
      <c r="B29" t="s">
        <v>63</v>
      </c>
      <c r="C29" t="s">
        <v>40</v>
      </c>
      <c r="D29" t="s">
        <v>66</v>
      </c>
      <c r="E29" t="s">
        <v>76</v>
      </c>
      <c r="F29" t="s">
        <v>50</v>
      </c>
      <c r="G29" t="s">
        <v>595</v>
      </c>
      <c r="H29" t="s">
        <v>14</v>
      </c>
      <c r="I29" t="s">
        <v>77</v>
      </c>
    </row>
    <row r="30" spans="1:9" x14ac:dyDescent="0.3">
      <c r="A30" t="s">
        <v>79</v>
      </c>
      <c r="B30" t="s">
        <v>53</v>
      </c>
      <c r="C30" t="s">
        <v>18</v>
      </c>
      <c r="D30" t="s">
        <v>37</v>
      </c>
      <c r="E30" t="s">
        <v>14</v>
      </c>
      <c r="F30" t="s">
        <v>50</v>
      </c>
      <c r="G30" t="s">
        <v>80</v>
      </c>
    </row>
    <row r="31" spans="1:9" x14ac:dyDescent="0.3">
      <c r="A31" t="s">
        <v>81</v>
      </c>
      <c r="B31" t="s">
        <v>37</v>
      </c>
      <c r="C31" t="s">
        <v>82</v>
      </c>
      <c r="D31" t="s">
        <v>14</v>
      </c>
      <c r="E31" t="s">
        <v>50</v>
      </c>
      <c r="F31" t="s">
        <v>83</v>
      </c>
    </row>
    <row r="32" spans="1:9" x14ac:dyDescent="0.3">
      <c r="A32" s="4" t="s">
        <v>85</v>
      </c>
      <c r="B32" t="s">
        <v>37</v>
      </c>
      <c r="C32" t="s">
        <v>50</v>
      </c>
      <c r="D32" t="s">
        <v>14</v>
      </c>
    </row>
    <row r="33" spans="1:11" x14ac:dyDescent="0.3">
      <c r="A33" s="11" t="s">
        <v>87</v>
      </c>
      <c r="B33" t="s">
        <v>88</v>
      </c>
      <c r="C33" t="s">
        <v>50</v>
      </c>
      <c r="D33" t="s">
        <v>595</v>
      </c>
      <c r="E33" t="s">
        <v>14</v>
      </c>
      <c r="F33" t="s">
        <v>40</v>
      </c>
      <c r="G33" t="s">
        <v>89</v>
      </c>
    </row>
    <row r="34" spans="1:11" x14ac:dyDescent="0.3">
      <c r="A34" s="11" t="s">
        <v>90</v>
      </c>
      <c r="B34" t="s">
        <v>91</v>
      </c>
      <c r="C34" t="s">
        <v>40</v>
      </c>
      <c r="D34" t="s">
        <v>595</v>
      </c>
      <c r="E34" t="s">
        <v>14</v>
      </c>
      <c r="F34" t="s">
        <v>50</v>
      </c>
      <c r="G34" s="3" t="s">
        <v>92</v>
      </c>
    </row>
    <row r="35" spans="1:11" x14ac:dyDescent="0.3">
      <c r="A35" t="s">
        <v>93</v>
      </c>
      <c r="B35" t="s">
        <v>50</v>
      </c>
      <c r="C35" t="s">
        <v>14</v>
      </c>
      <c r="D35" t="s">
        <v>94</v>
      </c>
    </row>
    <row r="36" spans="1:11" x14ac:dyDescent="0.3">
      <c r="A36" t="s">
        <v>96</v>
      </c>
      <c r="B36" t="s">
        <v>88</v>
      </c>
      <c r="C36" t="s">
        <v>50</v>
      </c>
      <c r="D36" t="s">
        <v>40</v>
      </c>
      <c r="E36" t="s">
        <v>595</v>
      </c>
      <c r="F36" t="s">
        <v>14</v>
      </c>
      <c r="G36" t="s">
        <v>89</v>
      </c>
      <c r="H36" t="s">
        <v>15</v>
      </c>
    </row>
    <row r="37" spans="1:11" x14ac:dyDescent="0.3">
      <c r="A37" t="s">
        <v>97</v>
      </c>
      <c r="B37" t="s">
        <v>98</v>
      </c>
      <c r="C37" t="s">
        <v>99</v>
      </c>
      <c r="D37" t="s">
        <v>50</v>
      </c>
      <c r="E37" t="s">
        <v>100</v>
      </c>
      <c r="F37" t="s">
        <v>101</v>
      </c>
      <c r="G37" t="s">
        <v>102</v>
      </c>
      <c r="H37" t="s">
        <v>24</v>
      </c>
      <c r="I37" t="s">
        <v>595</v>
      </c>
      <c r="J37" t="s">
        <v>14</v>
      </c>
      <c r="K37" t="s">
        <v>40</v>
      </c>
    </row>
    <row r="38" spans="1:11" x14ac:dyDescent="0.3">
      <c r="A38" t="s">
        <v>103</v>
      </c>
      <c r="B38" t="s">
        <v>50</v>
      </c>
      <c r="C38" t="s">
        <v>40</v>
      </c>
      <c r="D38" t="s">
        <v>595</v>
      </c>
      <c r="E38" t="s">
        <v>14</v>
      </c>
      <c r="F38" t="s">
        <v>104</v>
      </c>
    </row>
    <row r="39" spans="1:11" x14ac:dyDescent="0.3">
      <c r="A39" s="4" t="s">
        <v>105</v>
      </c>
      <c r="B39" t="s">
        <v>50</v>
      </c>
      <c r="C39" t="s">
        <v>40</v>
      </c>
      <c r="D39" t="s">
        <v>595</v>
      </c>
      <c r="E39" t="s">
        <v>37</v>
      </c>
    </row>
    <row r="40" spans="1:11" x14ac:dyDescent="0.3">
      <c r="A40" s="11" t="s">
        <v>107</v>
      </c>
      <c r="B40" t="s">
        <v>50</v>
      </c>
      <c r="C40" t="s">
        <v>14</v>
      </c>
      <c r="D40" t="s">
        <v>108</v>
      </c>
      <c r="E40" t="s">
        <v>109</v>
      </c>
      <c r="F40" t="s">
        <v>595</v>
      </c>
    </row>
    <row r="41" spans="1:11" x14ac:dyDescent="0.3">
      <c r="A41" s="11" t="s">
        <v>110</v>
      </c>
      <c r="B41" t="s">
        <v>111</v>
      </c>
      <c r="C41" t="s">
        <v>112</v>
      </c>
    </row>
    <row r="42" spans="1:11" x14ac:dyDescent="0.3">
      <c r="A42" s="11" t="s">
        <v>113</v>
      </c>
      <c r="B42" t="s">
        <v>50</v>
      </c>
      <c r="C42" t="s">
        <v>37</v>
      </c>
      <c r="D42" t="s">
        <v>595</v>
      </c>
      <c r="E42" t="s">
        <v>114</v>
      </c>
      <c r="F42" t="s">
        <v>14</v>
      </c>
    </row>
    <row r="43" spans="1:11" x14ac:dyDescent="0.3">
      <c r="A43" t="s">
        <v>116</v>
      </c>
      <c r="B43" t="s">
        <v>50</v>
      </c>
      <c r="C43" t="s">
        <v>117</v>
      </c>
      <c r="D43" t="s">
        <v>118</v>
      </c>
      <c r="E43" t="s">
        <v>595</v>
      </c>
      <c r="F43" t="s">
        <v>14</v>
      </c>
      <c r="G43" t="s">
        <v>119</v>
      </c>
    </row>
    <row r="44" spans="1:11" x14ac:dyDescent="0.3">
      <c r="A44" t="s">
        <v>120</v>
      </c>
      <c r="B44" t="s">
        <v>37</v>
      </c>
      <c r="C44" t="s">
        <v>3</v>
      </c>
      <c r="D44" t="s">
        <v>595</v>
      </c>
      <c r="E44" t="s">
        <v>14</v>
      </c>
      <c r="F44" t="s">
        <v>121</v>
      </c>
      <c r="G44" t="s">
        <v>122</v>
      </c>
    </row>
    <row r="45" spans="1:11" x14ac:dyDescent="0.3">
      <c r="A45" s="11" t="s">
        <v>123</v>
      </c>
      <c r="B45" t="s">
        <v>121</v>
      </c>
      <c r="C45" t="s">
        <v>50</v>
      </c>
      <c r="D45" t="s">
        <v>40</v>
      </c>
      <c r="E45" t="s">
        <v>111</v>
      </c>
    </row>
    <row r="46" spans="1:11" x14ac:dyDescent="0.3">
      <c r="A46" t="s">
        <v>124</v>
      </c>
      <c r="B46" t="s">
        <v>37</v>
      </c>
      <c r="C46" t="s">
        <v>50</v>
      </c>
      <c r="D46" t="s">
        <v>14</v>
      </c>
      <c r="E46" t="s">
        <v>595</v>
      </c>
      <c r="F46" t="s">
        <v>3</v>
      </c>
      <c r="G46" t="s">
        <v>125</v>
      </c>
      <c r="H46" t="s">
        <v>126</v>
      </c>
    </row>
    <row r="47" spans="1:11" x14ac:dyDescent="0.3">
      <c r="A47" t="s">
        <v>127</v>
      </c>
      <c r="B47" t="s">
        <v>37</v>
      </c>
      <c r="C47" t="s">
        <v>50</v>
      </c>
      <c r="D47" t="s">
        <v>14</v>
      </c>
      <c r="E47" t="s">
        <v>595</v>
      </c>
      <c r="F47" t="s">
        <v>3</v>
      </c>
      <c r="G47" t="s">
        <v>128</v>
      </c>
      <c r="H47" t="s">
        <v>126</v>
      </c>
    </row>
    <row r="48" spans="1:11" x14ac:dyDescent="0.3">
      <c r="A48" t="s">
        <v>129</v>
      </c>
      <c r="B48" t="s">
        <v>101</v>
      </c>
      <c r="C48" t="s">
        <v>37</v>
      </c>
      <c r="D48" t="s">
        <v>50</v>
      </c>
      <c r="E48" t="s">
        <v>130</v>
      </c>
      <c r="F48" t="s">
        <v>595</v>
      </c>
      <c r="G48" t="s">
        <v>14</v>
      </c>
      <c r="H48" t="s">
        <v>131</v>
      </c>
      <c r="I48" t="s">
        <v>132</v>
      </c>
    </row>
    <row r="49" spans="1:9" x14ac:dyDescent="0.3">
      <c r="A49" t="s">
        <v>133</v>
      </c>
      <c r="B49" t="s">
        <v>63</v>
      </c>
      <c r="C49" t="s">
        <v>134</v>
      </c>
      <c r="D49" t="s">
        <v>50</v>
      </c>
      <c r="E49" t="s">
        <v>595</v>
      </c>
      <c r="F49" t="s">
        <v>14</v>
      </c>
    </row>
    <row r="50" spans="1:9" x14ac:dyDescent="0.3">
      <c r="A50" t="s">
        <v>135</v>
      </c>
      <c r="B50" t="s">
        <v>50</v>
      </c>
      <c r="C50" t="s">
        <v>595</v>
      </c>
      <c r="D50" t="s">
        <v>14</v>
      </c>
      <c r="E50" t="s">
        <v>37</v>
      </c>
      <c r="F50" t="s">
        <v>40</v>
      </c>
      <c r="G50" t="s">
        <v>136</v>
      </c>
    </row>
    <row r="51" spans="1:9" x14ac:dyDescent="0.3">
      <c r="A51" t="s">
        <v>137</v>
      </c>
      <c r="B51" t="s">
        <v>37</v>
      </c>
      <c r="C51" t="s">
        <v>138</v>
      </c>
      <c r="D51" t="s">
        <v>139</v>
      </c>
      <c r="E51" t="s">
        <v>14</v>
      </c>
    </row>
    <row r="52" spans="1:9" s="6" customFormat="1" x14ac:dyDescent="0.3">
      <c r="A52" s="6" t="s">
        <v>140</v>
      </c>
    </row>
    <row r="53" spans="1:9" x14ac:dyDescent="0.3">
      <c r="A53" s="11" t="s">
        <v>141</v>
      </c>
      <c r="B53" t="s">
        <v>142</v>
      </c>
      <c r="C53" t="s">
        <v>143</v>
      </c>
      <c r="D53" t="s">
        <v>40</v>
      </c>
      <c r="E53" t="s">
        <v>111</v>
      </c>
      <c r="F53" t="s">
        <v>144</v>
      </c>
    </row>
    <row r="54" spans="1:9" x14ac:dyDescent="0.3">
      <c r="A54" t="s">
        <v>145</v>
      </c>
      <c r="B54" t="s">
        <v>50</v>
      </c>
      <c r="C54" t="s">
        <v>146</v>
      </c>
      <c r="D54" t="s">
        <v>147</v>
      </c>
      <c r="E54" t="s">
        <v>3</v>
      </c>
      <c r="F54" t="s">
        <v>595</v>
      </c>
      <c r="G54" t="s">
        <v>14</v>
      </c>
    </row>
    <row r="55" spans="1:9" x14ac:dyDescent="0.3">
      <c r="A55" t="s">
        <v>148</v>
      </c>
      <c r="B55" t="s">
        <v>136</v>
      </c>
      <c r="C55" t="s">
        <v>3</v>
      </c>
      <c r="D55" t="s">
        <v>595</v>
      </c>
      <c r="E55" t="s">
        <v>14</v>
      </c>
      <c r="F55" t="s">
        <v>37</v>
      </c>
      <c r="G55" t="s">
        <v>50</v>
      </c>
      <c r="H55" t="s">
        <v>126</v>
      </c>
      <c r="I55" t="s">
        <v>149</v>
      </c>
    </row>
    <row r="56" spans="1:9" x14ac:dyDescent="0.3">
      <c r="A56" t="s">
        <v>150</v>
      </c>
      <c r="B56" t="s">
        <v>136</v>
      </c>
      <c r="C56" t="s">
        <v>3</v>
      </c>
      <c r="D56" t="s">
        <v>595</v>
      </c>
      <c r="E56" t="s">
        <v>14</v>
      </c>
      <c r="F56" t="s">
        <v>37</v>
      </c>
      <c r="G56" t="s">
        <v>50</v>
      </c>
      <c r="H56" t="s">
        <v>126</v>
      </c>
      <c r="I56" t="s">
        <v>149</v>
      </c>
    </row>
    <row r="57" spans="1:9" x14ac:dyDescent="0.3">
      <c r="A57" t="s">
        <v>151</v>
      </c>
      <c r="B57" t="s">
        <v>152</v>
      </c>
      <c r="C57" t="s">
        <v>153</v>
      </c>
      <c r="D57" t="s">
        <v>14</v>
      </c>
      <c r="E57" t="s">
        <v>50</v>
      </c>
    </row>
    <row r="58" spans="1:9" s="6" customFormat="1" x14ac:dyDescent="0.3">
      <c r="A58" s="6" t="s">
        <v>155</v>
      </c>
    </row>
    <row r="59" spans="1:9" x14ac:dyDescent="0.3">
      <c r="A59" t="s">
        <v>156</v>
      </c>
      <c r="B59" t="s">
        <v>157</v>
      </c>
      <c r="C59" t="s">
        <v>40</v>
      </c>
      <c r="D59" t="s">
        <v>158</v>
      </c>
      <c r="E59" t="s">
        <v>50</v>
      </c>
    </row>
    <row r="60" spans="1:9" x14ac:dyDescent="0.3">
      <c r="A60" t="s">
        <v>159</v>
      </c>
      <c r="B60" t="s">
        <v>50</v>
      </c>
      <c r="C60" t="s">
        <v>160</v>
      </c>
      <c r="D60" t="s">
        <v>158</v>
      </c>
      <c r="E60" t="s">
        <v>161</v>
      </c>
    </row>
    <row r="61" spans="1:9" s="6" customFormat="1" x14ac:dyDescent="0.3">
      <c r="A61" s="6" t="s">
        <v>162</v>
      </c>
    </row>
    <row r="62" spans="1:9" x14ac:dyDescent="0.3">
      <c r="A62" t="s">
        <v>163</v>
      </c>
      <c r="B62" t="s">
        <v>50</v>
      </c>
      <c r="C62" t="s">
        <v>40</v>
      </c>
      <c r="D62" t="s">
        <v>164</v>
      </c>
    </row>
    <row r="63" spans="1:9" x14ac:dyDescent="0.3">
      <c r="A63" t="s">
        <v>165</v>
      </c>
      <c r="B63" t="s">
        <v>166</v>
      </c>
      <c r="C63" t="s">
        <v>167</v>
      </c>
      <c r="D63" t="s">
        <v>40</v>
      </c>
    </row>
    <row r="64" spans="1:9" x14ac:dyDescent="0.3">
      <c r="A64" t="s">
        <v>169</v>
      </c>
      <c r="B64" t="s">
        <v>50</v>
      </c>
      <c r="C64" t="s">
        <v>170</v>
      </c>
    </row>
    <row r="65" spans="1:8" x14ac:dyDescent="0.3">
      <c r="A65" t="s">
        <v>171</v>
      </c>
      <c r="B65" t="s">
        <v>37</v>
      </c>
      <c r="C65" t="s">
        <v>595</v>
      </c>
      <c r="D65" t="s">
        <v>14</v>
      </c>
      <c r="E65" t="s">
        <v>50</v>
      </c>
      <c r="F65" t="s">
        <v>111</v>
      </c>
      <c r="G65" t="s">
        <v>172</v>
      </c>
      <c r="H65" t="s">
        <v>173</v>
      </c>
    </row>
    <row r="66" spans="1:8" x14ac:dyDescent="0.3">
      <c r="A66" t="s">
        <v>174</v>
      </c>
      <c r="B66" t="s">
        <v>50</v>
      </c>
      <c r="C66" t="s">
        <v>111</v>
      </c>
      <c r="D66" t="s">
        <v>175</v>
      </c>
      <c r="E66" t="s">
        <v>173</v>
      </c>
    </row>
    <row r="67" spans="1:8" x14ac:dyDescent="0.3">
      <c r="A67" t="s">
        <v>176</v>
      </c>
      <c r="B67" t="s">
        <v>50</v>
      </c>
      <c r="C67" t="s">
        <v>177</v>
      </c>
    </row>
    <row r="68" spans="1:8" x14ac:dyDescent="0.3">
      <c r="A68" t="s">
        <v>178</v>
      </c>
      <c r="B68" t="s">
        <v>50</v>
      </c>
      <c r="C68" t="s">
        <v>37</v>
      </c>
      <c r="D68" t="s">
        <v>595</v>
      </c>
      <c r="E68" t="s">
        <v>14</v>
      </c>
      <c r="F68" t="s">
        <v>179</v>
      </c>
      <c r="G68" t="s">
        <v>180</v>
      </c>
      <c r="H68" t="s">
        <v>181</v>
      </c>
    </row>
    <row r="69" spans="1:8" x14ac:dyDescent="0.3">
      <c r="A69" t="s">
        <v>182</v>
      </c>
      <c r="B69" t="s">
        <v>183</v>
      </c>
    </row>
    <row r="70" spans="1:8" x14ac:dyDescent="0.3">
      <c r="A70" t="s">
        <v>185</v>
      </c>
      <c r="B70" t="s">
        <v>186</v>
      </c>
      <c r="C70" t="s">
        <v>187</v>
      </c>
      <c r="D70" t="s">
        <v>40</v>
      </c>
      <c r="E70" t="s">
        <v>188</v>
      </c>
    </row>
    <row r="71" spans="1:8" x14ac:dyDescent="0.3">
      <c r="A71" t="s">
        <v>189</v>
      </c>
      <c r="B71" t="s">
        <v>37</v>
      </c>
      <c r="C71" t="s">
        <v>40</v>
      </c>
      <c r="D71" t="s">
        <v>166</v>
      </c>
      <c r="E71" t="s">
        <v>190</v>
      </c>
    </row>
    <row r="72" spans="1:8" x14ac:dyDescent="0.3">
      <c r="A72" t="s">
        <v>191</v>
      </c>
      <c r="B72" t="s">
        <v>37</v>
      </c>
      <c r="C72" t="s">
        <v>40</v>
      </c>
      <c r="D72" t="s">
        <v>166</v>
      </c>
      <c r="E72" t="s">
        <v>190</v>
      </c>
    </row>
    <row r="73" spans="1:8" x14ac:dyDescent="0.3">
      <c r="A73" t="s">
        <v>192</v>
      </c>
      <c r="B73" t="s">
        <v>37</v>
      </c>
      <c r="C73" t="s">
        <v>40</v>
      </c>
      <c r="D73" t="s">
        <v>166</v>
      </c>
      <c r="E73" t="s">
        <v>190</v>
      </c>
    </row>
    <row r="74" spans="1:8" x14ac:dyDescent="0.3">
      <c r="A74" t="s">
        <v>193</v>
      </c>
      <c r="B74" t="s">
        <v>37</v>
      </c>
      <c r="C74" t="s">
        <v>40</v>
      </c>
      <c r="D74" t="s">
        <v>166</v>
      </c>
      <c r="E74" t="s">
        <v>190</v>
      </c>
    </row>
    <row r="75" spans="1:8" x14ac:dyDescent="0.3">
      <c r="A75" t="s">
        <v>194</v>
      </c>
      <c r="B75" t="s">
        <v>37</v>
      </c>
      <c r="C75" t="s">
        <v>40</v>
      </c>
      <c r="D75" t="s">
        <v>166</v>
      </c>
      <c r="E75" t="s">
        <v>190</v>
      </c>
    </row>
    <row r="76" spans="1:8" x14ac:dyDescent="0.3">
      <c r="A76" t="s">
        <v>195</v>
      </c>
      <c r="B76" t="s">
        <v>37</v>
      </c>
      <c r="C76" t="s">
        <v>40</v>
      </c>
      <c r="D76" t="s">
        <v>166</v>
      </c>
      <c r="E76" t="s">
        <v>190</v>
      </c>
    </row>
    <row r="77" spans="1:8" x14ac:dyDescent="0.3">
      <c r="A77" t="s">
        <v>196</v>
      </c>
      <c r="B77" t="s">
        <v>197</v>
      </c>
      <c r="C77" t="s">
        <v>37</v>
      </c>
      <c r="D77" t="s">
        <v>40</v>
      </c>
      <c r="E77" t="s">
        <v>50</v>
      </c>
      <c r="F77" s="7" t="s">
        <v>198</v>
      </c>
      <c r="G77" t="s">
        <v>190</v>
      </c>
    </row>
    <row r="78" spans="1:8" x14ac:dyDescent="0.3">
      <c r="A78" t="s">
        <v>199</v>
      </c>
      <c r="B78" t="s">
        <v>37</v>
      </c>
      <c r="C78" t="s">
        <v>40</v>
      </c>
      <c r="D78" t="s">
        <v>166</v>
      </c>
      <c r="E78" t="s">
        <v>190</v>
      </c>
    </row>
    <row r="79" spans="1:8" x14ac:dyDescent="0.3">
      <c r="A79" t="s">
        <v>201</v>
      </c>
      <c r="B79" t="s">
        <v>50</v>
      </c>
      <c r="C79" t="s">
        <v>40</v>
      </c>
      <c r="D79" t="s">
        <v>202</v>
      </c>
      <c r="E79" t="s">
        <v>203</v>
      </c>
    </row>
    <row r="80" spans="1:8" x14ac:dyDescent="0.3">
      <c r="A80" t="s">
        <v>204</v>
      </c>
      <c r="B80" t="s">
        <v>50</v>
      </c>
      <c r="C80" t="s">
        <v>40</v>
      </c>
      <c r="D80" t="s">
        <v>202</v>
      </c>
      <c r="E80" t="s">
        <v>205</v>
      </c>
      <c r="F80" t="s">
        <v>206</v>
      </c>
    </row>
    <row r="81" spans="1:7" x14ac:dyDescent="0.3">
      <c r="A81" t="s">
        <v>207</v>
      </c>
      <c r="B81" t="s">
        <v>40</v>
      </c>
      <c r="C81" t="s">
        <v>208</v>
      </c>
    </row>
    <row r="82" spans="1:7" s="5" customFormat="1" x14ac:dyDescent="0.3">
      <c r="A82" s="5" t="s">
        <v>210</v>
      </c>
    </row>
    <row r="83" spans="1:7" s="5" customFormat="1" x14ac:dyDescent="0.3">
      <c r="A83" s="5" t="s">
        <v>211</v>
      </c>
    </row>
    <row r="84" spans="1:7" x14ac:dyDescent="0.3">
      <c r="A84" t="s">
        <v>212</v>
      </c>
      <c r="B84" t="s">
        <v>213</v>
      </c>
      <c r="C84" t="s">
        <v>50</v>
      </c>
      <c r="D84" t="s">
        <v>134</v>
      </c>
      <c r="E84" t="s">
        <v>595</v>
      </c>
      <c r="F84" t="s">
        <v>14</v>
      </c>
      <c r="G84" t="s">
        <v>214</v>
      </c>
    </row>
    <row r="85" spans="1:7" x14ac:dyDescent="0.3">
      <c r="A85" t="s">
        <v>215</v>
      </c>
      <c r="B85" t="s">
        <v>50</v>
      </c>
      <c r="C85" t="s">
        <v>216</v>
      </c>
      <c r="D85" t="s">
        <v>111</v>
      </c>
      <c r="E85" t="s">
        <v>217</v>
      </c>
      <c r="F85" t="s">
        <v>218</v>
      </c>
    </row>
    <row r="86" spans="1:7" x14ac:dyDescent="0.3">
      <c r="A86" s="4" t="s">
        <v>219</v>
      </c>
      <c r="B86" t="s">
        <v>50</v>
      </c>
      <c r="C86" t="s">
        <v>40</v>
      </c>
      <c r="D86" t="s">
        <v>111</v>
      </c>
    </row>
    <row r="87" spans="1:7" x14ac:dyDescent="0.3">
      <c r="A87" t="s">
        <v>220</v>
      </c>
      <c r="B87" t="s">
        <v>50</v>
      </c>
      <c r="C87" t="s">
        <v>40</v>
      </c>
      <c r="D87" t="s">
        <v>221</v>
      </c>
      <c r="E87" t="s">
        <v>222</v>
      </c>
    </row>
    <row r="88" spans="1:7" x14ac:dyDescent="0.3">
      <c r="A88" t="s">
        <v>223</v>
      </c>
      <c r="B88" t="s">
        <v>50</v>
      </c>
      <c r="C88" t="s">
        <v>224</v>
      </c>
      <c r="D88" t="s">
        <v>40</v>
      </c>
      <c r="E88" t="s">
        <v>158</v>
      </c>
    </row>
    <row r="89" spans="1:7" x14ac:dyDescent="0.3">
      <c r="A89" s="4" t="s">
        <v>225</v>
      </c>
      <c r="B89" t="s">
        <v>50</v>
      </c>
      <c r="C89" t="s">
        <v>221</v>
      </c>
      <c r="D89" t="s">
        <v>40</v>
      </c>
      <c r="E89" t="s">
        <v>111</v>
      </c>
    </row>
    <row r="90" spans="1:7" x14ac:dyDescent="0.3">
      <c r="A90" t="s">
        <v>227</v>
      </c>
      <c r="B90" t="s">
        <v>50</v>
      </c>
      <c r="C90" t="s">
        <v>37</v>
      </c>
      <c r="D90" t="s">
        <v>228</v>
      </c>
      <c r="E90" t="s">
        <v>229</v>
      </c>
      <c r="F90" t="s">
        <v>230</v>
      </c>
    </row>
    <row r="91" spans="1:7" s="6" customFormat="1" x14ac:dyDescent="0.3">
      <c r="A91" s="6" t="s">
        <v>232</v>
      </c>
    </row>
    <row r="92" spans="1:7" s="6" customFormat="1" x14ac:dyDescent="0.3">
      <c r="A92" s="6" t="s">
        <v>233</v>
      </c>
    </row>
    <row r="93" spans="1:7" s="6" customFormat="1" x14ac:dyDescent="0.3">
      <c r="A93" s="6" t="s">
        <v>234</v>
      </c>
    </row>
    <row r="94" spans="1:7" x14ac:dyDescent="0.3">
      <c r="A94" t="s">
        <v>235</v>
      </c>
      <c r="B94" t="s">
        <v>50</v>
      </c>
      <c r="C94" t="s">
        <v>37</v>
      </c>
      <c r="D94" t="s">
        <v>236</v>
      </c>
      <c r="E94" t="s">
        <v>40</v>
      </c>
      <c r="F94" t="s">
        <v>237</v>
      </c>
      <c r="G94" t="s">
        <v>238</v>
      </c>
    </row>
    <row r="95" spans="1:7" x14ac:dyDescent="0.3">
      <c r="A95" t="s">
        <v>239</v>
      </c>
      <c r="B95" t="s">
        <v>50</v>
      </c>
      <c r="C95" t="s">
        <v>37</v>
      </c>
      <c r="D95" t="s">
        <v>236</v>
      </c>
      <c r="E95" t="s">
        <v>40</v>
      </c>
      <c r="F95" t="s">
        <v>238</v>
      </c>
    </row>
    <row r="96" spans="1:7" x14ac:dyDescent="0.3">
      <c r="A96" t="s">
        <v>240</v>
      </c>
      <c r="B96" t="s">
        <v>50</v>
      </c>
      <c r="C96" t="s">
        <v>37</v>
      </c>
      <c r="D96" t="s">
        <v>66</v>
      </c>
      <c r="E96" t="s">
        <v>595</v>
      </c>
      <c r="F96" t="s">
        <v>14</v>
      </c>
    </row>
    <row r="97" spans="1:7" x14ac:dyDescent="0.3">
      <c r="A97" t="s">
        <v>241</v>
      </c>
      <c r="B97" t="s">
        <v>50</v>
      </c>
      <c r="C97" t="s">
        <v>37</v>
      </c>
      <c r="D97" t="s">
        <v>66</v>
      </c>
      <c r="E97" t="s">
        <v>242</v>
      </c>
      <c r="F97" t="s">
        <v>595</v>
      </c>
      <c r="G97" t="s">
        <v>14</v>
      </c>
    </row>
    <row r="98" spans="1:7" x14ac:dyDescent="0.3">
      <c r="A98" t="s">
        <v>243</v>
      </c>
      <c r="B98" t="s">
        <v>50</v>
      </c>
      <c r="C98" t="s">
        <v>111</v>
      </c>
      <c r="D98" t="s">
        <v>158</v>
      </c>
    </row>
    <row r="99" spans="1:7" x14ac:dyDescent="0.3">
      <c r="A99" t="s">
        <v>244</v>
      </c>
      <c r="B99" t="s">
        <v>50</v>
      </c>
      <c r="C99" t="s">
        <v>158</v>
      </c>
      <c r="D99" t="s">
        <v>37</v>
      </c>
      <c r="E99" t="s">
        <v>25</v>
      </c>
    </row>
    <row r="100" spans="1:7" x14ac:dyDescent="0.3">
      <c r="A100" t="s">
        <v>245</v>
      </c>
      <c r="B100" t="s">
        <v>50</v>
      </c>
      <c r="C100" t="s">
        <v>111</v>
      </c>
      <c r="D100" t="s">
        <v>158</v>
      </c>
    </row>
    <row r="101" spans="1:7" s="6" customFormat="1" x14ac:dyDescent="0.3">
      <c r="A101" s="6" t="s">
        <v>247</v>
      </c>
    </row>
    <row r="102" spans="1:7" x14ac:dyDescent="0.3">
      <c r="A102" t="s">
        <v>248</v>
      </c>
    </row>
    <row r="103" spans="1:7" x14ac:dyDescent="0.3">
      <c r="A103" t="s">
        <v>249</v>
      </c>
      <c r="B103" t="s">
        <v>50</v>
      </c>
      <c r="C103" t="s">
        <v>250</v>
      </c>
      <c r="D103" t="s">
        <v>251</v>
      </c>
    </row>
    <row r="104" spans="1:7" s="6" customFormat="1" x14ac:dyDescent="0.3">
      <c r="A104" s="6" t="s">
        <v>252</v>
      </c>
    </row>
    <row r="105" spans="1:7" s="6" customFormat="1" x14ac:dyDescent="0.3">
      <c r="A105" s="6" t="s">
        <v>252</v>
      </c>
    </row>
    <row r="106" spans="1:7" s="6" customFormat="1" x14ac:dyDescent="0.3">
      <c r="A106" s="6" t="s">
        <v>252</v>
      </c>
    </row>
    <row r="107" spans="1:7" x14ac:dyDescent="0.3">
      <c r="A107" t="s">
        <v>254</v>
      </c>
      <c r="B107" t="s">
        <v>255</v>
      </c>
      <c r="C107" t="s">
        <v>40</v>
      </c>
      <c r="D107" t="s">
        <v>111</v>
      </c>
    </row>
    <row r="108" spans="1:7" x14ac:dyDescent="0.3">
      <c r="A108" t="s">
        <v>256</v>
      </c>
      <c r="B108" t="s">
        <v>255</v>
      </c>
      <c r="C108" t="s">
        <v>40</v>
      </c>
      <c r="D108" t="s">
        <v>111</v>
      </c>
    </row>
    <row r="109" spans="1:7" x14ac:dyDescent="0.3">
      <c r="A109" t="s">
        <v>258</v>
      </c>
      <c r="B109" t="s">
        <v>255</v>
      </c>
      <c r="C109" t="s">
        <v>40</v>
      </c>
      <c r="D109" t="s">
        <v>50</v>
      </c>
    </row>
    <row r="110" spans="1:7" x14ac:dyDescent="0.3">
      <c r="A110" t="s">
        <v>259</v>
      </c>
      <c r="B110" t="s">
        <v>40</v>
      </c>
      <c r="C110" t="s">
        <v>260</v>
      </c>
      <c r="D110" t="s">
        <v>261</v>
      </c>
      <c r="E110" t="s">
        <v>242</v>
      </c>
      <c r="F110" t="s">
        <v>111</v>
      </c>
    </row>
    <row r="111" spans="1:7" x14ac:dyDescent="0.3">
      <c r="A111" t="s">
        <v>263</v>
      </c>
      <c r="B111" t="s">
        <v>264</v>
      </c>
      <c r="C111" t="s">
        <v>50</v>
      </c>
      <c r="D111" t="s">
        <v>37</v>
      </c>
      <c r="E111" t="s">
        <v>595</v>
      </c>
      <c r="F111" t="s">
        <v>14</v>
      </c>
    </row>
    <row r="112" spans="1:7" x14ac:dyDescent="0.3">
      <c r="A112" t="s">
        <v>265</v>
      </c>
      <c r="B112" t="s">
        <v>50</v>
      </c>
      <c r="C112" t="s">
        <v>266</v>
      </c>
      <c r="D112" t="s">
        <v>267</v>
      </c>
      <c r="E112" t="s">
        <v>268</v>
      </c>
      <c r="F112" t="s">
        <v>166</v>
      </c>
    </row>
    <row r="113" spans="1:10" x14ac:dyDescent="0.3">
      <c r="A113" t="s">
        <v>270</v>
      </c>
      <c r="B113" t="s">
        <v>63</v>
      </c>
      <c r="C113" t="s">
        <v>271</v>
      </c>
      <c r="D113" t="s">
        <v>272</v>
      </c>
      <c r="E113" t="s">
        <v>273</v>
      </c>
      <c r="F113" t="s">
        <v>40</v>
      </c>
      <c r="G113" t="s">
        <v>111</v>
      </c>
    </row>
    <row r="114" spans="1:10" x14ac:dyDescent="0.3">
      <c r="A114" t="s">
        <v>274</v>
      </c>
      <c r="B114" t="s">
        <v>275</v>
      </c>
      <c r="C114" t="s">
        <v>276</v>
      </c>
      <c r="D114" t="s">
        <v>277</v>
      </c>
      <c r="E114" t="s">
        <v>278</v>
      </c>
      <c r="F114" t="s">
        <v>279</v>
      </c>
    </row>
    <row r="115" spans="1:10" x14ac:dyDescent="0.3">
      <c r="A115" t="s">
        <v>280</v>
      </c>
      <c r="B115" t="s">
        <v>281</v>
      </c>
      <c r="C115" t="s">
        <v>282</v>
      </c>
      <c r="D115" t="s">
        <v>283</v>
      </c>
      <c r="E115" t="s">
        <v>284</v>
      </c>
    </row>
    <row r="116" spans="1:10" s="6" customFormat="1" x14ac:dyDescent="0.3">
      <c r="A116" s="6" t="s">
        <v>285</v>
      </c>
    </row>
    <row r="117" spans="1:10" x14ac:dyDescent="0.3">
      <c r="A117" t="s">
        <v>287</v>
      </c>
      <c r="B117" t="s">
        <v>63</v>
      </c>
      <c r="C117" t="s">
        <v>50</v>
      </c>
      <c r="D117" t="s">
        <v>14</v>
      </c>
      <c r="E117" t="s">
        <v>595</v>
      </c>
      <c r="F117" t="s">
        <v>288</v>
      </c>
      <c r="G117" t="s">
        <v>289</v>
      </c>
    </row>
    <row r="118" spans="1:10" x14ac:dyDescent="0.3">
      <c r="A118" t="s">
        <v>290</v>
      </c>
      <c r="B118" t="s">
        <v>63</v>
      </c>
      <c r="C118" t="s">
        <v>50</v>
      </c>
      <c r="D118" t="s">
        <v>291</v>
      </c>
      <c r="E118" t="s">
        <v>40</v>
      </c>
    </row>
    <row r="119" spans="1:10" x14ac:dyDescent="0.3">
      <c r="A119" t="s">
        <v>292</v>
      </c>
      <c r="B119" t="s">
        <v>63</v>
      </c>
      <c r="C119" t="s">
        <v>50</v>
      </c>
      <c r="D119" t="s">
        <v>291</v>
      </c>
    </row>
    <row r="120" spans="1:10" x14ac:dyDescent="0.3">
      <c r="A120" t="s">
        <v>293</v>
      </c>
      <c r="B120" t="s">
        <v>63</v>
      </c>
      <c r="C120" t="s">
        <v>50</v>
      </c>
      <c r="D120" t="s">
        <v>294</v>
      </c>
      <c r="E120" t="s">
        <v>295</v>
      </c>
    </row>
    <row r="121" spans="1:10" x14ac:dyDescent="0.3">
      <c r="A121" t="s">
        <v>297</v>
      </c>
      <c r="B121" t="s">
        <v>63</v>
      </c>
      <c r="C121" t="s">
        <v>50</v>
      </c>
      <c r="D121" t="s">
        <v>298</v>
      </c>
    </row>
    <row r="122" spans="1:10" x14ac:dyDescent="0.3">
      <c r="A122" t="s">
        <v>299</v>
      </c>
      <c r="B122" t="s">
        <v>63</v>
      </c>
      <c r="C122" t="s">
        <v>300</v>
      </c>
      <c r="D122" t="s">
        <v>40</v>
      </c>
      <c r="E122" t="s">
        <v>111</v>
      </c>
      <c r="F122" t="s">
        <v>14</v>
      </c>
      <c r="G122" t="s">
        <v>301</v>
      </c>
      <c r="H122" t="s">
        <v>37</v>
      </c>
      <c r="I122" t="s">
        <v>302</v>
      </c>
      <c r="J122" t="s">
        <v>303</v>
      </c>
    </row>
    <row r="123" spans="1:10" x14ac:dyDescent="0.3">
      <c r="A123" t="s">
        <v>304</v>
      </c>
      <c r="B123" t="s">
        <v>63</v>
      </c>
      <c r="C123" t="s">
        <v>25</v>
      </c>
      <c r="D123" t="s">
        <v>14</v>
      </c>
      <c r="E123" t="s">
        <v>40</v>
      </c>
      <c r="F123" t="s">
        <v>111</v>
      </c>
      <c r="G123" t="s">
        <v>301</v>
      </c>
      <c r="H123" t="s">
        <v>37</v>
      </c>
      <c r="I123" t="s">
        <v>302</v>
      </c>
      <c r="J123" t="s">
        <v>303</v>
      </c>
    </row>
    <row r="124" spans="1:10" x14ac:dyDescent="0.3">
      <c r="A124" t="s">
        <v>306</v>
      </c>
      <c r="B124" t="s">
        <v>307</v>
      </c>
      <c r="C124" t="s">
        <v>50</v>
      </c>
      <c r="D124" t="s">
        <v>595</v>
      </c>
      <c r="E124" t="s">
        <v>40</v>
      </c>
      <c r="F124" t="s">
        <v>14</v>
      </c>
      <c r="G124" t="s">
        <v>37</v>
      </c>
      <c r="H124" t="s">
        <v>308</v>
      </c>
    </row>
    <row r="125" spans="1:10" x14ac:dyDescent="0.3">
      <c r="A125" t="s">
        <v>309</v>
      </c>
      <c r="B125" t="s">
        <v>63</v>
      </c>
      <c r="C125" t="s">
        <v>50</v>
      </c>
      <c r="D125" t="s">
        <v>310</v>
      </c>
      <c r="E125" t="s">
        <v>595</v>
      </c>
      <c r="F125" t="s">
        <v>14</v>
      </c>
    </row>
    <row r="126" spans="1:10" x14ac:dyDescent="0.3">
      <c r="A126" t="s">
        <v>311</v>
      </c>
      <c r="B126" t="s">
        <v>25</v>
      </c>
      <c r="C126" t="s">
        <v>40</v>
      </c>
      <c r="D126" t="s">
        <v>37</v>
      </c>
      <c r="E126" t="s">
        <v>14</v>
      </c>
      <c r="F126" t="s">
        <v>595</v>
      </c>
    </row>
    <row r="127" spans="1:10" x14ac:dyDescent="0.3">
      <c r="A127" t="s">
        <v>312</v>
      </c>
      <c r="B127" t="s">
        <v>50</v>
      </c>
      <c r="C127" t="s">
        <v>40</v>
      </c>
      <c r="D127" t="s">
        <v>24</v>
      </c>
      <c r="E127" t="s">
        <v>63</v>
      </c>
    </row>
    <row r="128" spans="1:10" x14ac:dyDescent="0.3">
      <c r="A128" t="s">
        <v>313</v>
      </c>
      <c r="B128" t="s">
        <v>37</v>
      </c>
      <c r="C128" t="s">
        <v>50</v>
      </c>
      <c r="D128" t="s">
        <v>595</v>
      </c>
      <c r="E128" t="s">
        <v>14</v>
      </c>
      <c r="F128" t="s">
        <v>40</v>
      </c>
      <c r="G128" t="s">
        <v>314</v>
      </c>
    </row>
    <row r="129" spans="1:9" x14ac:dyDescent="0.3">
      <c r="A129" t="s">
        <v>315</v>
      </c>
      <c r="B129" t="s">
        <v>50</v>
      </c>
      <c r="C129" t="s">
        <v>40</v>
      </c>
      <c r="D129" t="s">
        <v>24</v>
      </c>
      <c r="E129" t="s">
        <v>111</v>
      </c>
      <c r="F129" s="6" t="s">
        <v>316</v>
      </c>
    </row>
    <row r="130" spans="1:9" x14ac:dyDescent="0.3">
      <c r="A130" t="s">
        <v>317</v>
      </c>
      <c r="B130" t="s">
        <v>318</v>
      </c>
      <c r="C130" t="s">
        <v>37</v>
      </c>
      <c r="D130" t="s">
        <v>595</v>
      </c>
      <c r="E130" t="s">
        <v>14</v>
      </c>
    </row>
    <row r="131" spans="1:9" x14ac:dyDescent="0.3">
      <c r="A131" t="s">
        <v>319</v>
      </c>
      <c r="B131" t="s">
        <v>63</v>
      </c>
      <c r="C131" t="s">
        <v>50</v>
      </c>
      <c r="D131" t="s">
        <v>40</v>
      </c>
      <c r="E131" t="s">
        <v>111</v>
      </c>
    </row>
    <row r="132" spans="1:9" x14ac:dyDescent="0.3">
      <c r="A132" t="s">
        <v>320</v>
      </c>
      <c r="B132" t="s">
        <v>63</v>
      </c>
      <c r="C132" t="s">
        <v>50</v>
      </c>
      <c r="D132" t="s">
        <v>595</v>
      </c>
      <c r="E132" t="s">
        <v>14</v>
      </c>
      <c r="F132" t="s">
        <v>288</v>
      </c>
      <c r="G132" t="s">
        <v>321</v>
      </c>
    </row>
    <row r="133" spans="1:9" x14ac:dyDescent="0.3">
      <c r="A133" t="s">
        <v>322</v>
      </c>
      <c r="B133" t="s">
        <v>63</v>
      </c>
      <c r="C133" t="s">
        <v>50</v>
      </c>
      <c r="D133" t="s">
        <v>595</v>
      </c>
      <c r="E133" t="s">
        <v>14</v>
      </c>
      <c r="F133" t="s">
        <v>288</v>
      </c>
      <c r="G133" t="s">
        <v>321</v>
      </c>
    </row>
    <row r="134" spans="1:9" x14ac:dyDescent="0.3">
      <c r="A134" t="s">
        <v>323</v>
      </c>
      <c r="B134" t="s">
        <v>63</v>
      </c>
      <c r="C134" t="s">
        <v>50</v>
      </c>
      <c r="D134" t="s">
        <v>595</v>
      </c>
      <c r="E134" t="s">
        <v>14</v>
      </c>
      <c r="F134" t="s">
        <v>37</v>
      </c>
    </row>
    <row r="135" spans="1:9" s="6" customFormat="1" ht="16.2" customHeight="1" x14ac:dyDescent="0.3">
      <c r="A135" s="6" t="s">
        <v>325</v>
      </c>
    </row>
    <row r="136" spans="1:9" s="6" customFormat="1" x14ac:dyDescent="0.3">
      <c r="A136" s="6" t="s">
        <v>326</v>
      </c>
    </row>
    <row r="137" spans="1:9" s="6" customFormat="1" x14ac:dyDescent="0.3">
      <c r="A137" s="6" t="s">
        <v>327</v>
      </c>
    </row>
    <row r="138" spans="1:9" x14ac:dyDescent="0.3">
      <c r="A138" t="s">
        <v>329</v>
      </c>
      <c r="B138" t="s">
        <v>158</v>
      </c>
      <c r="C138" t="s">
        <v>50</v>
      </c>
      <c r="D138" t="s">
        <v>595</v>
      </c>
      <c r="E138" t="s">
        <v>14</v>
      </c>
      <c r="F138" t="s">
        <v>3</v>
      </c>
      <c r="G138" t="s">
        <v>330</v>
      </c>
      <c r="H138" t="s">
        <v>331</v>
      </c>
    </row>
    <row r="139" spans="1:9" s="5" customFormat="1" x14ac:dyDescent="0.3">
      <c r="A139" s="9" t="s">
        <v>332</v>
      </c>
    </row>
    <row r="140" spans="1:9" x14ac:dyDescent="0.3">
      <c r="A140" t="s">
        <v>333</v>
      </c>
      <c r="B140" t="s">
        <v>50</v>
      </c>
      <c r="C140" t="s">
        <v>37</v>
      </c>
      <c r="D140" t="s">
        <v>334</v>
      </c>
      <c r="E140" t="s">
        <v>40</v>
      </c>
      <c r="F140" t="s">
        <v>595</v>
      </c>
      <c r="G140" t="s">
        <v>14</v>
      </c>
      <c r="H140" t="s">
        <v>3</v>
      </c>
      <c r="I140" t="s">
        <v>335</v>
      </c>
    </row>
    <row r="141" spans="1:9" x14ac:dyDescent="0.3">
      <c r="A141" t="s">
        <v>336</v>
      </c>
      <c r="B141" t="s">
        <v>50</v>
      </c>
      <c r="C141" t="s">
        <v>37</v>
      </c>
      <c r="D141" t="s">
        <v>334</v>
      </c>
      <c r="E141" t="s">
        <v>40</v>
      </c>
      <c r="F141" t="s">
        <v>595</v>
      </c>
      <c r="G141" t="s">
        <v>14</v>
      </c>
      <c r="H141" t="s">
        <v>3</v>
      </c>
      <c r="I141" t="s">
        <v>335</v>
      </c>
    </row>
    <row r="142" spans="1:9" x14ac:dyDescent="0.3">
      <c r="A142" t="s">
        <v>337</v>
      </c>
      <c r="B142" t="s">
        <v>50</v>
      </c>
      <c r="C142" t="s">
        <v>37</v>
      </c>
      <c r="D142" t="s">
        <v>334</v>
      </c>
      <c r="E142" t="s">
        <v>40</v>
      </c>
      <c r="F142" t="s">
        <v>595</v>
      </c>
      <c r="G142" t="s">
        <v>14</v>
      </c>
      <c r="H142" t="s">
        <v>3</v>
      </c>
      <c r="I142" t="s">
        <v>335</v>
      </c>
    </row>
    <row r="143" spans="1:9" x14ac:dyDescent="0.3">
      <c r="A143" t="s">
        <v>338</v>
      </c>
      <c r="B143" t="s">
        <v>50</v>
      </c>
      <c r="C143" t="s">
        <v>37</v>
      </c>
      <c r="D143" t="s">
        <v>334</v>
      </c>
      <c r="E143" t="s">
        <v>40</v>
      </c>
      <c r="F143" t="s">
        <v>595</v>
      </c>
      <c r="G143" t="s">
        <v>14</v>
      </c>
      <c r="H143" t="s">
        <v>3</v>
      </c>
      <c r="I143" t="s">
        <v>335</v>
      </c>
    </row>
    <row r="144" spans="1:9" x14ac:dyDescent="0.3">
      <c r="A144" t="s">
        <v>339</v>
      </c>
      <c r="B144" t="s">
        <v>255</v>
      </c>
      <c r="C144" t="s">
        <v>50</v>
      </c>
      <c r="D144" t="s">
        <v>111</v>
      </c>
    </row>
    <row r="145" spans="1:10" x14ac:dyDescent="0.3">
      <c r="A145" t="s">
        <v>341</v>
      </c>
      <c r="B145" t="s">
        <v>342</v>
      </c>
      <c r="C145" t="s">
        <v>50</v>
      </c>
      <c r="D145" t="s">
        <v>343</v>
      </c>
      <c r="E145" t="s">
        <v>344</v>
      </c>
      <c r="F145" t="s">
        <v>111</v>
      </c>
      <c r="G145" t="s">
        <v>40</v>
      </c>
      <c r="H145" t="s">
        <v>345</v>
      </c>
      <c r="I145" t="s">
        <v>346</v>
      </c>
      <c r="J145" t="s">
        <v>347</v>
      </c>
    </row>
    <row r="146" spans="1:10" x14ac:dyDescent="0.3">
      <c r="A146" t="s">
        <v>348</v>
      </c>
      <c r="B146" t="s">
        <v>40</v>
      </c>
      <c r="C146" t="s">
        <v>14</v>
      </c>
      <c r="D146" t="s">
        <v>595</v>
      </c>
      <c r="E146" t="s">
        <v>37</v>
      </c>
      <c r="F146" t="s">
        <v>50</v>
      </c>
    </row>
    <row r="147" spans="1:10" x14ac:dyDescent="0.3">
      <c r="A147" t="s">
        <v>349</v>
      </c>
      <c r="B147" t="s">
        <v>350</v>
      </c>
      <c r="C147" t="s">
        <v>50</v>
      </c>
      <c r="D147" t="s">
        <v>40</v>
      </c>
      <c r="E147" t="s">
        <v>111</v>
      </c>
      <c r="F147" t="s">
        <v>37</v>
      </c>
    </row>
    <row r="148" spans="1:10" s="5" customFormat="1" ht="15" thickBot="1" x14ac:dyDescent="0.35">
      <c r="A148" s="10" t="s">
        <v>351</v>
      </c>
    </row>
    <row r="149" spans="1:10" x14ac:dyDescent="0.3">
      <c r="A149" t="s">
        <v>353</v>
      </c>
      <c r="B149" t="s">
        <v>8</v>
      </c>
      <c r="C149" t="s">
        <v>18</v>
      </c>
      <c r="D149" t="s">
        <v>111</v>
      </c>
      <c r="E149" t="s">
        <v>217</v>
      </c>
      <c r="F149" t="s">
        <v>354</v>
      </c>
    </row>
    <row r="150" spans="1:10" x14ac:dyDescent="0.3">
      <c r="A150" t="s">
        <v>355</v>
      </c>
      <c r="B150" t="s">
        <v>111</v>
      </c>
      <c r="C150" t="s">
        <v>40</v>
      </c>
      <c r="D150" t="s">
        <v>356</v>
      </c>
      <c r="E150" t="s">
        <v>357</v>
      </c>
      <c r="F150" t="s">
        <v>358</v>
      </c>
      <c r="G150" t="s">
        <v>50</v>
      </c>
      <c r="H150" t="s">
        <v>359</v>
      </c>
    </row>
    <row r="151" spans="1:10" x14ac:dyDescent="0.3">
      <c r="A151" t="s">
        <v>360</v>
      </c>
      <c r="B151" t="s">
        <v>40</v>
      </c>
      <c r="C151" t="s">
        <v>111</v>
      </c>
      <c r="D151" t="s">
        <v>50</v>
      </c>
      <c r="E151" t="s">
        <v>361</v>
      </c>
    </row>
    <row r="152" spans="1:10" x14ac:dyDescent="0.3">
      <c r="A152" t="s">
        <v>362</v>
      </c>
      <c r="B152" t="s">
        <v>111</v>
      </c>
      <c r="C152" t="s">
        <v>363</v>
      </c>
      <c r="D152" t="s">
        <v>40</v>
      </c>
      <c r="E152" t="s">
        <v>50</v>
      </c>
    </row>
    <row r="153" spans="1:10" x14ac:dyDescent="0.3">
      <c r="A153" t="s">
        <v>364</v>
      </c>
      <c r="B153" t="s">
        <v>50</v>
      </c>
      <c r="C153" t="s">
        <v>365</v>
      </c>
      <c r="D153" t="s">
        <v>40</v>
      </c>
    </row>
    <row r="154" spans="1:10" x14ac:dyDescent="0.3">
      <c r="A154" t="s">
        <v>366</v>
      </c>
      <c r="B154" t="s">
        <v>50</v>
      </c>
      <c r="C154" t="s">
        <v>40</v>
      </c>
      <c r="D154" t="s">
        <v>111</v>
      </c>
      <c r="E154" t="s">
        <v>367</v>
      </c>
      <c r="F154" t="s">
        <v>197</v>
      </c>
    </row>
    <row r="155" spans="1:10" x14ac:dyDescent="0.3">
      <c r="A155" t="s">
        <v>368</v>
      </c>
      <c r="B155" t="s">
        <v>50</v>
      </c>
      <c r="C155" t="s">
        <v>40</v>
      </c>
      <c r="D155" t="s">
        <v>356</v>
      </c>
    </row>
    <row r="156" spans="1:10" x14ac:dyDescent="0.3">
      <c r="A156" t="s">
        <v>369</v>
      </c>
      <c r="B156" t="s">
        <v>356</v>
      </c>
      <c r="C156" t="s">
        <v>111</v>
      </c>
      <c r="D156" t="s">
        <v>370</v>
      </c>
      <c r="E156" t="s">
        <v>50</v>
      </c>
      <c r="F156" t="s">
        <v>14</v>
      </c>
      <c r="G156" t="s">
        <v>344</v>
      </c>
      <c r="H156" t="s">
        <v>371</v>
      </c>
      <c r="I156" t="s">
        <v>372</v>
      </c>
    </row>
    <row r="157" spans="1:10" x14ac:dyDescent="0.3">
      <c r="A157" t="s">
        <v>373</v>
      </c>
      <c r="B157" t="s">
        <v>356</v>
      </c>
      <c r="C157" t="s">
        <v>111</v>
      </c>
      <c r="D157" t="s">
        <v>370</v>
      </c>
      <c r="E157" t="s">
        <v>50</v>
      </c>
      <c r="F157" t="s">
        <v>14</v>
      </c>
      <c r="G157" t="s">
        <v>344</v>
      </c>
    </row>
    <row r="158" spans="1:10" x14ac:dyDescent="0.3">
      <c r="A158" t="s">
        <v>374</v>
      </c>
      <c r="B158" t="s">
        <v>50</v>
      </c>
      <c r="C158" t="s">
        <v>375</v>
      </c>
      <c r="D158" t="s">
        <v>111</v>
      </c>
      <c r="E158" t="s">
        <v>376</v>
      </c>
      <c r="F158" t="s">
        <v>356</v>
      </c>
    </row>
    <row r="159" spans="1:10" x14ac:dyDescent="0.3">
      <c r="A159" t="s">
        <v>377</v>
      </c>
      <c r="B159" t="s">
        <v>50</v>
      </c>
      <c r="C159" t="s">
        <v>40</v>
      </c>
      <c r="D159" t="s">
        <v>111</v>
      </c>
      <c r="E159" t="s">
        <v>217</v>
      </c>
    </row>
    <row r="160" spans="1:10" x14ac:dyDescent="0.3">
      <c r="A160" t="s">
        <v>378</v>
      </c>
      <c r="B160" t="s">
        <v>50</v>
      </c>
      <c r="C160" t="s">
        <v>37</v>
      </c>
      <c r="D160" t="s">
        <v>2</v>
      </c>
    </row>
    <row r="161" spans="1:9" x14ac:dyDescent="0.3">
      <c r="A161" t="s">
        <v>379</v>
      </c>
      <c r="B161" t="s">
        <v>40</v>
      </c>
    </row>
    <row r="162" spans="1:9" x14ac:dyDescent="0.3">
      <c r="A162" t="s">
        <v>381</v>
      </c>
      <c r="B162" t="s">
        <v>350</v>
      </c>
      <c r="C162" t="s">
        <v>111</v>
      </c>
    </row>
    <row r="163" spans="1:9" x14ac:dyDescent="0.3">
      <c r="A163" t="s">
        <v>382</v>
      </c>
      <c r="B163" t="s">
        <v>37</v>
      </c>
      <c r="C163" t="s">
        <v>14</v>
      </c>
      <c r="D163" t="s">
        <v>595</v>
      </c>
      <c r="E163" t="s">
        <v>50</v>
      </c>
    </row>
    <row r="164" spans="1:9" x14ac:dyDescent="0.3">
      <c r="A164" t="s">
        <v>383</v>
      </c>
      <c r="B164" t="s">
        <v>37</v>
      </c>
      <c r="C164" t="s">
        <v>384</v>
      </c>
      <c r="D164" t="s">
        <v>111</v>
      </c>
    </row>
    <row r="165" spans="1:9" x14ac:dyDescent="0.3">
      <c r="A165" t="s">
        <v>385</v>
      </c>
      <c r="B165" t="s">
        <v>37</v>
      </c>
      <c r="C165" t="s">
        <v>50</v>
      </c>
      <c r="D165" t="s">
        <v>2</v>
      </c>
      <c r="E165" t="s">
        <v>595</v>
      </c>
      <c r="F165" t="s">
        <v>386</v>
      </c>
      <c r="G165" t="s">
        <v>3</v>
      </c>
      <c r="H165" t="s">
        <v>40</v>
      </c>
    </row>
    <row r="166" spans="1:9" s="5" customFormat="1" x14ac:dyDescent="0.3">
      <c r="A166" s="5" t="s">
        <v>387</v>
      </c>
    </row>
    <row r="167" spans="1:9" x14ac:dyDescent="0.3">
      <c r="A167" t="s">
        <v>388</v>
      </c>
      <c r="B167" t="s">
        <v>37</v>
      </c>
      <c r="C167" t="s">
        <v>50</v>
      </c>
      <c r="D167" t="s">
        <v>2</v>
      </c>
      <c r="E167" t="s">
        <v>595</v>
      </c>
      <c r="F167" t="s">
        <v>386</v>
      </c>
      <c r="G167" t="s">
        <v>40</v>
      </c>
    </row>
    <row r="168" spans="1:9" x14ac:dyDescent="0.3">
      <c r="A168" t="s">
        <v>389</v>
      </c>
      <c r="B168" t="s">
        <v>37</v>
      </c>
      <c r="C168" t="s">
        <v>50</v>
      </c>
      <c r="D168" t="s">
        <v>2</v>
      </c>
      <c r="E168" t="s">
        <v>595</v>
      </c>
      <c r="F168" t="s">
        <v>386</v>
      </c>
      <c r="G168" t="s">
        <v>3</v>
      </c>
      <c r="H168" t="s">
        <v>40</v>
      </c>
    </row>
    <row r="169" spans="1:9" x14ac:dyDescent="0.3">
      <c r="A169" t="s">
        <v>390</v>
      </c>
      <c r="B169" t="s">
        <v>37</v>
      </c>
      <c r="C169" t="s">
        <v>111</v>
      </c>
      <c r="D169" t="s">
        <v>14</v>
      </c>
      <c r="E169" t="s">
        <v>40</v>
      </c>
      <c r="F169" t="s">
        <v>595</v>
      </c>
      <c r="G169" t="s">
        <v>50</v>
      </c>
    </row>
    <row r="170" spans="1:9" x14ac:dyDescent="0.3">
      <c r="A170" t="s">
        <v>391</v>
      </c>
      <c r="B170" t="s">
        <v>37</v>
      </c>
      <c r="C170" t="s">
        <v>14</v>
      </c>
      <c r="D170" t="s">
        <v>595</v>
      </c>
      <c r="E170" t="s">
        <v>40</v>
      </c>
      <c r="F170" t="s">
        <v>50</v>
      </c>
      <c r="G170" t="s">
        <v>392</v>
      </c>
      <c r="H170" t="s">
        <v>386</v>
      </c>
    </row>
    <row r="171" spans="1:9" x14ac:dyDescent="0.3">
      <c r="A171" t="s">
        <v>393</v>
      </c>
      <c r="B171" t="s">
        <v>37</v>
      </c>
      <c r="C171" t="s">
        <v>50</v>
      </c>
      <c r="D171" t="s">
        <v>111</v>
      </c>
      <c r="E171" t="s">
        <v>14</v>
      </c>
      <c r="F171" t="s">
        <v>595</v>
      </c>
    </row>
    <row r="172" spans="1:9" x14ac:dyDescent="0.3">
      <c r="A172" t="s">
        <v>394</v>
      </c>
      <c r="B172" t="s">
        <v>111</v>
      </c>
      <c r="C172" t="s">
        <v>40</v>
      </c>
      <c r="D172" t="s">
        <v>37</v>
      </c>
      <c r="E172" t="s">
        <v>14</v>
      </c>
      <c r="F172" t="s">
        <v>595</v>
      </c>
      <c r="G172" t="s">
        <v>386</v>
      </c>
      <c r="H172" t="s">
        <v>50</v>
      </c>
    </row>
    <row r="173" spans="1:9" x14ac:dyDescent="0.3">
      <c r="A173" t="s">
        <v>395</v>
      </c>
      <c r="B173" t="s">
        <v>396</v>
      </c>
      <c r="C173" t="s">
        <v>37</v>
      </c>
      <c r="D173" t="s">
        <v>50</v>
      </c>
      <c r="E173" t="s">
        <v>130</v>
      </c>
      <c r="F173" t="s">
        <v>14</v>
      </c>
      <c r="G173" t="s">
        <v>111</v>
      </c>
      <c r="H173" t="s">
        <v>595</v>
      </c>
      <c r="I173" t="s">
        <v>40</v>
      </c>
    </row>
    <row r="174" spans="1:9" x14ac:dyDescent="0.3">
      <c r="A174" t="s">
        <v>397</v>
      </c>
      <c r="B174" t="s">
        <v>37</v>
      </c>
      <c r="C174" t="s">
        <v>40</v>
      </c>
      <c r="D174" t="s">
        <v>14</v>
      </c>
      <c r="E174" t="s">
        <v>595</v>
      </c>
      <c r="F174" t="s">
        <v>3</v>
      </c>
    </row>
    <row r="175" spans="1:9" x14ac:dyDescent="0.3">
      <c r="A175" t="s">
        <v>398</v>
      </c>
      <c r="B175" t="s">
        <v>37</v>
      </c>
      <c r="C175" t="s">
        <v>111</v>
      </c>
      <c r="D175" t="s">
        <v>40</v>
      </c>
      <c r="E175" t="s">
        <v>14</v>
      </c>
      <c r="F175" t="s">
        <v>595</v>
      </c>
      <c r="G175" t="s">
        <v>50</v>
      </c>
      <c r="H175" t="s">
        <v>3</v>
      </c>
    </row>
    <row r="176" spans="1:9" x14ac:dyDescent="0.3">
      <c r="A176" t="s">
        <v>399</v>
      </c>
      <c r="B176" t="s">
        <v>37</v>
      </c>
      <c r="C176" t="s">
        <v>40</v>
      </c>
      <c r="D176" t="s">
        <v>14</v>
      </c>
      <c r="E176" t="s">
        <v>595</v>
      </c>
      <c r="F176" t="s">
        <v>3</v>
      </c>
      <c r="G176" t="s">
        <v>50</v>
      </c>
    </row>
    <row r="177" spans="1:9" x14ac:dyDescent="0.3">
      <c r="A177" t="s">
        <v>400</v>
      </c>
      <c r="B177" t="s">
        <v>3</v>
      </c>
      <c r="C177" t="s">
        <v>14</v>
      </c>
      <c r="D177" t="s">
        <v>50</v>
      </c>
      <c r="E177" t="s">
        <v>37</v>
      </c>
      <c r="F177" t="s">
        <v>40</v>
      </c>
    </row>
    <row r="178" spans="1:9" x14ac:dyDescent="0.3">
      <c r="A178" t="s">
        <v>401</v>
      </c>
      <c r="B178" t="s">
        <v>50</v>
      </c>
      <c r="C178" t="s">
        <v>14</v>
      </c>
      <c r="D178" t="s">
        <v>595</v>
      </c>
      <c r="E178" t="s">
        <v>40</v>
      </c>
    </row>
    <row r="179" spans="1:9" ht="14.4" customHeight="1" x14ac:dyDescent="0.3">
      <c r="A179" t="s">
        <v>403</v>
      </c>
      <c r="B179" t="s">
        <v>50</v>
      </c>
      <c r="C179" t="s">
        <v>40</v>
      </c>
      <c r="D179" t="s">
        <v>111</v>
      </c>
      <c r="E179" t="s">
        <v>595</v>
      </c>
      <c r="F179" t="s">
        <v>14</v>
      </c>
      <c r="G179" t="s">
        <v>37</v>
      </c>
    </row>
    <row r="180" spans="1:9" ht="14.4" customHeight="1" x14ac:dyDescent="0.3">
      <c r="A180" t="s">
        <v>404</v>
      </c>
      <c r="B180" t="s">
        <v>50</v>
      </c>
      <c r="C180" t="s">
        <v>40</v>
      </c>
      <c r="D180" t="s">
        <v>111</v>
      </c>
      <c r="E180" t="s">
        <v>595</v>
      </c>
      <c r="F180" t="s">
        <v>14</v>
      </c>
      <c r="G180" t="s">
        <v>37</v>
      </c>
    </row>
    <row r="181" spans="1:9" ht="14.4" customHeight="1" x14ac:dyDescent="0.3">
      <c r="A181" t="s">
        <v>405</v>
      </c>
      <c r="B181" t="s">
        <v>111</v>
      </c>
      <c r="C181" t="s">
        <v>40</v>
      </c>
      <c r="D181" t="s">
        <v>37</v>
      </c>
      <c r="E181" t="s">
        <v>50</v>
      </c>
    </row>
    <row r="182" spans="1:9" ht="14.4" customHeight="1" x14ac:dyDescent="0.3">
      <c r="A182" t="s">
        <v>406</v>
      </c>
      <c r="B182" t="s">
        <v>37</v>
      </c>
      <c r="C182" t="s">
        <v>14</v>
      </c>
      <c r="D182" t="s">
        <v>595</v>
      </c>
      <c r="E182" t="s">
        <v>40</v>
      </c>
      <c r="F182" t="s">
        <v>50</v>
      </c>
    </row>
    <row r="183" spans="1:9" ht="14.4" customHeight="1" x14ac:dyDescent="0.3">
      <c r="A183" t="s">
        <v>407</v>
      </c>
      <c r="B183" t="s">
        <v>50</v>
      </c>
      <c r="C183" t="s">
        <v>37</v>
      </c>
      <c r="D183" t="s">
        <v>40</v>
      </c>
      <c r="E183" t="s">
        <v>111</v>
      </c>
      <c r="F183" t="s">
        <v>595</v>
      </c>
    </row>
    <row r="184" spans="1:9" ht="14.4" customHeight="1" x14ac:dyDescent="0.3">
      <c r="A184" t="s">
        <v>408</v>
      </c>
      <c r="B184" t="s">
        <v>50</v>
      </c>
      <c r="C184" t="s">
        <v>37</v>
      </c>
      <c r="D184" t="s">
        <v>40</v>
      </c>
      <c r="E184" t="s">
        <v>111</v>
      </c>
      <c r="F184" t="s">
        <v>595</v>
      </c>
    </row>
    <row r="185" spans="1:9" ht="14.4" customHeight="1" x14ac:dyDescent="0.3">
      <c r="A185" t="s">
        <v>409</v>
      </c>
      <c r="B185" t="s">
        <v>111</v>
      </c>
      <c r="C185" t="s">
        <v>367</v>
      </c>
      <c r="D185" t="s">
        <v>37</v>
      </c>
      <c r="E185" t="s">
        <v>14</v>
      </c>
      <c r="F185" t="s">
        <v>595</v>
      </c>
    </row>
    <row r="186" spans="1:9" ht="14.4" customHeight="1" x14ac:dyDescent="0.3">
      <c r="A186" t="s">
        <v>410</v>
      </c>
      <c r="B186" t="s">
        <v>50</v>
      </c>
      <c r="C186" t="s">
        <v>40</v>
      </c>
      <c r="D186" t="s">
        <v>14</v>
      </c>
      <c r="E186" t="s">
        <v>37</v>
      </c>
      <c r="F186" t="s">
        <v>595</v>
      </c>
      <c r="G186" t="s">
        <v>392</v>
      </c>
      <c r="H186" t="s">
        <v>411</v>
      </c>
    </row>
    <row r="187" spans="1:9" ht="14.4" customHeight="1" x14ac:dyDescent="0.3">
      <c r="A187" t="s">
        <v>412</v>
      </c>
      <c r="B187" t="s">
        <v>37</v>
      </c>
      <c r="C187" t="s">
        <v>111</v>
      </c>
      <c r="D187" t="s">
        <v>14</v>
      </c>
      <c r="E187" t="s">
        <v>595</v>
      </c>
      <c r="F187" t="s">
        <v>50</v>
      </c>
    </row>
    <row r="188" spans="1:9" ht="14.4" customHeight="1" x14ac:dyDescent="0.3">
      <c r="A188" t="s">
        <v>413</v>
      </c>
      <c r="B188" t="s">
        <v>37</v>
      </c>
      <c r="C188" t="s">
        <v>14</v>
      </c>
      <c r="D188" t="s">
        <v>595</v>
      </c>
      <c r="E188" t="s">
        <v>50</v>
      </c>
      <c r="F188" t="s">
        <v>111</v>
      </c>
      <c r="G188" t="s">
        <v>40</v>
      </c>
    </row>
    <row r="189" spans="1:9" ht="14.4" customHeight="1" x14ac:dyDescent="0.3">
      <c r="A189" t="s">
        <v>414</v>
      </c>
      <c r="B189" t="s">
        <v>37</v>
      </c>
      <c r="C189" t="s">
        <v>40</v>
      </c>
      <c r="D189" t="s">
        <v>50</v>
      </c>
      <c r="E189" t="s">
        <v>111</v>
      </c>
      <c r="F189" t="s">
        <v>386</v>
      </c>
    </row>
    <row r="190" spans="1:9" ht="14.4" customHeight="1" x14ac:dyDescent="0.3">
      <c r="A190" t="s">
        <v>415</v>
      </c>
      <c r="B190" t="s">
        <v>37</v>
      </c>
      <c r="C190" t="s">
        <v>40</v>
      </c>
      <c r="D190" t="s">
        <v>111</v>
      </c>
      <c r="E190" t="s">
        <v>386</v>
      </c>
      <c r="F190" t="s">
        <v>392</v>
      </c>
      <c r="G190" t="s">
        <v>50</v>
      </c>
      <c r="H190" t="s">
        <v>595</v>
      </c>
      <c r="I190" t="s">
        <v>14</v>
      </c>
    </row>
    <row r="191" spans="1:9" ht="14.4" customHeight="1" x14ac:dyDescent="0.3">
      <c r="A191" t="s">
        <v>416</v>
      </c>
      <c r="B191" t="s">
        <v>37</v>
      </c>
      <c r="C191" t="s">
        <v>40</v>
      </c>
      <c r="D191" t="s">
        <v>595</v>
      </c>
      <c r="E191" t="s">
        <v>111</v>
      </c>
      <c r="F191" t="s">
        <v>14</v>
      </c>
      <c r="G191" t="s">
        <v>50</v>
      </c>
    </row>
    <row r="192" spans="1:9" ht="14.4" customHeight="1" x14ac:dyDescent="0.3">
      <c r="A192" t="s">
        <v>417</v>
      </c>
      <c r="B192" t="s">
        <v>50</v>
      </c>
      <c r="C192" t="s">
        <v>37</v>
      </c>
      <c r="D192" t="s">
        <v>40</v>
      </c>
      <c r="E192" t="s">
        <v>111</v>
      </c>
      <c r="F192" t="s">
        <v>595</v>
      </c>
      <c r="G192" t="s">
        <v>14</v>
      </c>
    </row>
    <row r="193" spans="1:9" ht="14.4" customHeight="1" x14ac:dyDescent="0.3">
      <c r="A193" t="s">
        <v>418</v>
      </c>
      <c r="B193" t="s">
        <v>37</v>
      </c>
      <c r="C193" t="s">
        <v>40</v>
      </c>
      <c r="D193" t="s">
        <v>111</v>
      </c>
      <c r="E193" t="s">
        <v>14</v>
      </c>
      <c r="F193" t="s">
        <v>595</v>
      </c>
      <c r="G193" t="s">
        <v>50</v>
      </c>
    </row>
    <row r="194" spans="1:9" ht="14.4" customHeight="1" x14ac:dyDescent="0.3">
      <c r="A194" t="s">
        <v>419</v>
      </c>
      <c r="B194" t="s">
        <v>37</v>
      </c>
      <c r="C194" t="s">
        <v>40</v>
      </c>
      <c r="D194" t="s">
        <v>111</v>
      </c>
      <c r="E194" t="s">
        <v>14</v>
      </c>
      <c r="F194" t="s">
        <v>595</v>
      </c>
    </row>
    <row r="195" spans="1:9" ht="14.4" customHeight="1" x14ac:dyDescent="0.3">
      <c r="A195" t="s">
        <v>420</v>
      </c>
      <c r="B195" t="s">
        <v>50</v>
      </c>
      <c r="C195" t="s">
        <v>37</v>
      </c>
      <c r="D195" t="s">
        <v>421</v>
      </c>
      <c r="E195" t="s">
        <v>40</v>
      </c>
      <c r="F195" t="s">
        <v>111</v>
      </c>
      <c r="G195" t="s">
        <v>422</v>
      </c>
      <c r="H195" t="s">
        <v>14</v>
      </c>
    </row>
    <row r="196" spans="1:9" ht="14.4" customHeight="1" x14ac:dyDescent="0.3">
      <c r="A196" t="s">
        <v>423</v>
      </c>
      <c r="B196" t="s">
        <v>40</v>
      </c>
      <c r="C196" t="s">
        <v>111</v>
      </c>
      <c r="D196" t="s">
        <v>14</v>
      </c>
      <c r="E196" t="s">
        <v>595</v>
      </c>
      <c r="F196" t="s">
        <v>37</v>
      </c>
      <c r="G196" t="s">
        <v>50</v>
      </c>
      <c r="H196" t="s">
        <v>302</v>
      </c>
    </row>
    <row r="197" spans="1:9" ht="14.4" customHeight="1" x14ac:dyDescent="0.3">
      <c r="A197" t="s">
        <v>424</v>
      </c>
      <c r="B197" t="s">
        <v>50</v>
      </c>
      <c r="C197" t="s">
        <v>37</v>
      </c>
      <c r="D197" t="s">
        <v>14</v>
      </c>
      <c r="E197" t="s">
        <v>425</v>
      </c>
      <c r="F197" t="s">
        <v>302</v>
      </c>
      <c r="G197" t="s">
        <v>426</v>
      </c>
      <c r="H197" t="s">
        <v>111</v>
      </c>
      <c r="I197" t="s">
        <v>427</v>
      </c>
    </row>
    <row r="198" spans="1:9" ht="14.4" customHeight="1" x14ac:dyDescent="0.3">
      <c r="A198" t="s">
        <v>428</v>
      </c>
      <c r="B198" t="s">
        <v>50</v>
      </c>
      <c r="C198" t="s">
        <v>37</v>
      </c>
      <c r="D198" t="s">
        <v>40</v>
      </c>
      <c r="E198" t="s">
        <v>14</v>
      </c>
      <c r="F198" t="s">
        <v>302</v>
      </c>
      <c r="G198" t="s">
        <v>111</v>
      </c>
    </row>
    <row r="199" spans="1:9" ht="14.4" customHeight="1" x14ac:dyDescent="0.3">
      <c r="A199" t="s">
        <v>429</v>
      </c>
      <c r="B199" t="s">
        <v>37</v>
      </c>
      <c r="C199" t="s">
        <v>302</v>
      </c>
      <c r="D199" t="s">
        <v>426</v>
      </c>
      <c r="E199" t="s">
        <v>595</v>
      </c>
      <c r="F199" t="s">
        <v>14</v>
      </c>
      <c r="G199" t="s">
        <v>111</v>
      </c>
    </row>
    <row r="200" spans="1:9" ht="14.4" customHeight="1" x14ac:dyDescent="0.3">
      <c r="A200" t="s">
        <v>430</v>
      </c>
      <c r="B200" t="s">
        <v>37</v>
      </c>
      <c r="C200" t="s">
        <v>14</v>
      </c>
      <c r="D200" t="s">
        <v>595</v>
      </c>
      <c r="E200" t="s">
        <v>40</v>
      </c>
    </row>
    <row r="201" spans="1:9" ht="14.4" customHeight="1" x14ac:dyDescent="0.3">
      <c r="A201" t="s">
        <v>431</v>
      </c>
      <c r="B201" t="s">
        <v>37</v>
      </c>
      <c r="C201" t="s">
        <v>40</v>
      </c>
      <c r="D201" t="s">
        <v>50</v>
      </c>
    </row>
    <row r="202" spans="1:9" x14ac:dyDescent="0.3">
      <c r="A202" t="s">
        <v>433</v>
      </c>
      <c r="B202" t="s">
        <v>37</v>
      </c>
      <c r="C202" t="s">
        <v>434</v>
      </c>
      <c r="D202" t="s">
        <v>50</v>
      </c>
      <c r="E202" t="s">
        <v>40</v>
      </c>
      <c r="F202" t="s">
        <v>14</v>
      </c>
      <c r="G202" t="s">
        <v>435</v>
      </c>
    </row>
    <row r="203" spans="1:9" ht="14.4" customHeight="1" x14ac:dyDescent="0.3">
      <c r="A203" t="s">
        <v>436</v>
      </c>
      <c r="B203" t="s">
        <v>50</v>
      </c>
      <c r="C203" t="s">
        <v>63</v>
      </c>
      <c r="D203" t="s">
        <v>111</v>
      </c>
      <c r="E203" t="s">
        <v>242</v>
      </c>
      <c r="F203" t="s">
        <v>595</v>
      </c>
      <c r="G203" t="s">
        <v>3</v>
      </c>
      <c r="H203" t="s">
        <v>14</v>
      </c>
    </row>
    <row r="204" spans="1:9" ht="14.4" customHeight="1" x14ac:dyDescent="0.3">
      <c r="A204" t="s">
        <v>437</v>
      </c>
      <c r="B204" t="s">
        <v>438</v>
      </c>
      <c r="C204" t="s">
        <v>63</v>
      </c>
      <c r="D204" t="s">
        <v>50</v>
      </c>
      <c r="E204" t="s">
        <v>595</v>
      </c>
      <c r="F204" t="s">
        <v>14</v>
      </c>
      <c r="G204" t="s">
        <v>40</v>
      </c>
      <c r="H204" t="s">
        <v>111</v>
      </c>
    </row>
    <row r="205" spans="1:9" ht="14.4" customHeight="1" x14ac:dyDescent="0.3">
      <c r="A205" t="s">
        <v>439</v>
      </c>
      <c r="B205" t="s">
        <v>440</v>
      </c>
      <c r="C205" t="s">
        <v>13</v>
      </c>
      <c r="D205" t="s">
        <v>50</v>
      </c>
      <c r="E205" t="s">
        <v>595</v>
      </c>
      <c r="F205" t="s">
        <v>441</v>
      </c>
      <c r="G205" t="s">
        <v>40</v>
      </c>
      <c r="H205" t="s">
        <v>442</v>
      </c>
    </row>
    <row r="206" spans="1:9" ht="14.4" customHeight="1" x14ac:dyDescent="0.3">
      <c r="A206" t="s">
        <v>443</v>
      </c>
      <c r="B206" t="s">
        <v>440</v>
      </c>
      <c r="C206" t="s">
        <v>63</v>
      </c>
      <c r="D206" t="s">
        <v>50</v>
      </c>
      <c r="E206" t="s">
        <v>595</v>
      </c>
      <c r="F206" t="s">
        <v>14</v>
      </c>
      <c r="G206" t="s">
        <v>40</v>
      </c>
      <c r="H206" t="s">
        <v>13</v>
      </c>
    </row>
    <row r="207" spans="1:9" ht="14.4" customHeight="1" x14ac:dyDescent="0.3">
      <c r="A207" t="s">
        <v>444</v>
      </c>
      <c r="B207" t="s">
        <v>50</v>
      </c>
      <c r="C207" t="s">
        <v>440</v>
      </c>
      <c r="D207" t="s">
        <v>40</v>
      </c>
      <c r="E207" t="s">
        <v>242</v>
      </c>
      <c r="F207" t="s">
        <v>445</v>
      </c>
      <c r="G207" t="s">
        <v>422</v>
      </c>
      <c r="H207" t="s">
        <v>14</v>
      </c>
    </row>
    <row r="208" spans="1:9" ht="14.4" customHeight="1" x14ac:dyDescent="0.3">
      <c r="A208" t="s">
        <v>446</v>
      </c>
      <c r="B208" t="s">
        <v>50</v>
      </c>
      <c r="C208" t="s">
        <v>40</v>
      </c>
      <c r="D208" t="s">
        <v>111</v>
      </c>
      <c r="E208" t="s">
        <v>447</v>
      </c>
    </row>
    <row r="209" spans="1:11" x14ac:dyDescent="0.3">
      <c r="A209" t="s">
        <v>449</v>
      </c>
      <c r="B209" t="s">
        <v>37</v>
      </c>
      <c r="C209" t="s">
        <v>14</v>
      </c>
      <c r="D209" t="s">
        <v>595</v>
      </c>
      <c r="E209" t="s">
        <v>40</v>
      </c>
      <c r="F209" t="s">
        <v>450</v>
      </c>
    </row>
    <row r="210" spans="1:11" ht="14.4" customHeight="1" x14ac:dyDescent="0.3">
      <c r="A210" t="s">
        <v>451</v>
      </c>
      <c r="B210" t="s">
        <v>452</v>
      </c>
      <c r="C210" t="s">
        <v>37</v>
      </c>
      <c r="D210" t="s">
        <v>50</v>
      </c>
      <c r="E210" t="s">
        <v>40</v>
      </c>
    </row>
    <row r="211" spans="1:11" ht="14.4" customHeight="1" x14ac:dyDescent="0.3">
      <c r="A211" t="s">
        <v>453</v>
      </c>
      <c r="B211" t="s">
        <v>37</v>
      </c>
      <c r="C211" t="s">
        <v>454</v>
      </c>
      <c r="D211" t="s">
        <v>50</v>
      </c>
      <c r="E211" t="s">
        <v>40</v>
      </c>
      <c r="F211" t="s">
        <v>14</v>
      </c>
      <c r="G211" t="s">
        <v>111</v>
      </c>
    </row>
    <row r="212" spans="1:11" ht="14.4" customHeight="1" x14ac:dyDescent="0.3">
      <c r="A212" t="s">
        <v>455</v>
      </c>
      <c r="B212" t="s">
        <v>37</v>
      </c>
      <c r="C212" t="s">
        <v>50</v>
      </c>
      <c r="D212" t="s">
        <v>40</v>
      </c>
      <c r="E212" t="s">
        <v>14</v>
      </c>
      <c r="F212" t="s">
        <v>111</v>
      </c>
    </row>
    <row r="213" spans="1:11" ht="14.4" customHeight="1" x14ac:dyDescent="0.3">
      <c r="A213" t="s">
        <v>456</v>
      </c>
      <c r="B213" t="s">
        <v>37</v>
      </c>
      <c r="C213" t="s">
        <v>50</v>
      </c>
      <c r="D213" t="s">
        <v>40</v>
      </c>
      <c r="E213" t="s">
        <v>111</v>
      </c>
      <c r="F213" t="s">
        <v>14</v>
      </c>
      <c r="G213" t="s">
        <v>302</v>
      </c>
      <c r="H213" t="s">
        <v>457</v>
      </c>
    </row>
    <row r="214" spans="1:11" ht="14.4" customHeight="1" x14ac:dyDescent="0.3">
      <c r="A214" t="s">
        <v>458</v>
      </c>
      <c r="B214" t="s">
        <v>37</v>
      </c>
      <c r="C214" t="s">
        <v>50</v>
      </c>
      <c r="D214" t="s">
        <v>40</v>
      </c>
      <c r="E214" t="s">
        <v>14</v>
      </c>
      <c r="F214" t="s">
        <v>111</v>
      </c>
    </row>
    <row r="215" spans="1:11" ht="14.4" customHeight="1" x14ac:dyDescent="0.3">
      <c r="A215" t="s">
        <v>459</v>
      </c>
      <c r="B215" t="s">
        <v>37</v>
      </c>
      <c r="C215" t="s">
        <v>50</v>
      </c>
      <c r="D215" t="s">
        <v>14</v>
      </c>
      <c r="E215" t="s">
        <v>40</v>
      </c>
    </row>
    <row r="216" spans="1:11" ht="14.4" customHeight="1" x14ac:dyDescent="0.3">
      <c r="A216" t="s">
        <v>460</v>
      </c>
      <c r="B216" t="s">
        <v>37</v>
      </c>
      <c r="C216" t="s">
        <v>40</v>
      </c>
      <c r="D216" t="s">
        <v>111</v>
      </c>
      <c r="E216" t="s">
        <v>50</v>
      </c>
      <c r="F216" t="s">
        <v>461</v>
      </c>
      <c r="G216" t="s">
        <v>422</v>
      </c>
      <c r="H216" t="s">
        <v>112</v>
      </c>
      <c r="I216" t="s">
        <v>14</v>
      </c>
      <c r="J216" t="s">
        <v>63</v>
      </c>
      <c r="K216" t="s">
        <v>462</v>
      </c>
    </row>
    <row r="217" spans="1:11" ht="14.4" customHeight="1" x14ac:dyDescent="0.3">
      <c r="A217" t="s">
        <v>463</v>
      </c>
      <c r="B217" t="s">
        <v>37</v>
      </c>
      <c r="C217" t="s">
        <v>50</v>
      </c>
      <c r="D217" t="s">
        <v>40</v>
      </c>
      <c r="E217" t="s">
        <v>111</v>
      </c>
    </row>
    <row r="218" spans="1:11" ht="14.4" customHeight="1" x14ac:dyDescent="0.3">
      <c r="A218" t="s">
        <v>464</v>
      </c>
      <c r="B218" t="s">
        <v>37</v>
      </c>
      <c r="C218" t="s">
        <v>50</v>
      </c>
      <c r="D218" t="s">
        <v>14</v>
      </c>
      <c r="E218" t="s">
        <v>40</v>
      </c>
      <c r="F218" t="s">
        <v>111</v>
      </c>
      <c r="G218" t="s">
        <v>465</v>
      </c>
      <c r="H218" t="s">
        <v>466</v>
      </c>
    </row>
    <row r="219" spans="1:11" ht="14.4" customHeight="1" x14ac:dyDescent="0.3">
      <c r="A219" t="s">
        <v>467</v>
      </c>
      <c r="B219" t="s">
        <v>40</v>
      </c>
      <c r="C219" t="s">
        <v>37</v>
      </c>
      <c r="D219" t="s">
        <v>14</v>
      </c>
      <c r="E219" t="s">
        <v>468</v>
      </c>
      <c r="F219" t="s">
        <v>24</v>
      </c>
      <c r="G219" t="s">
        <v>469</v>
      </c>
      <c r="H219" t="s">
        <v>50</v>
      </c>
    </row>
    <row r="220" spans="1:11" ht="14.4" customHeight="1" x14ac:dyDescent="0.3">
      <c r="A220" t="s">
        <v>470</v>
      </c>
      <c r="B220" t="s">
        <v>37</v>
      </c>
      <c r="C220" t="s">
        <v>50</v>
      </c>
      <c r="D220" t="s">
        <v>14</v>
      </c>
      <c r="E220" t="s">
        <v>40</v>
      </c>
    </row>
    <row r="221" spans="1:11" ht="14.4" customHeight="1" x14ac:dyDescent="0.3">
      <c r="A221" t="s">
        <v>471</v>
      </c>
      <c r="B221" t="s">
        <v>37</v>
      </c>
      <c r="C221" t="s">
        <v>50</v>
      </c>
      <c r="D221" t="s">
        <v>40</v>
      </c>
      <c r="E221" t="s">
        <v>14</v>
      </c>
      <c r="F221" t="s">
        <v>111</v>
      </c>
      <c r="G221" t="s">
        <v>472</v>
      </c>
    </row>
    <row r="222" spans="1:11" ht="14.4" customHeight="1" x14ac:dyDescent="0.3">
      <c r="A222" t="s">
        <v>473</v>
      </c>
      <c r="B222" t="s">
        <v>37</v>
      </c>
      <c r="C222" t="s">
        <v>111</v>
      </c>
      <c r="D222" t="s">
        <v>474</v>
      </c>
      <c r="E222" t="s">
        <v>50</v>
      </c>
      <c r="F222" t="s">
        <v>475</v>
      </c>
      <c r="G222" t="s">
        <v>40</v>
      </c>
      <c r="H222" t="s">
        <v>14</v>
      </c>
    </row>
    <row r="223" spans="1:11" ht="14.4" customHeight="1" x14ac:dyDescent="0.3">
      <c r="A223" t="s">
        <v>476</v>
      </c>
      <c r="B223" t="s">
        <v>37</v>
      </c>
      <c r="C223" t="s">
        <v>474</v>
      </c>
      <c r="D223" t="s">
        <v>50</v>
      </c>
      <c r="E223" t="s">
        <v>40</v>
      </c>
      <c r="F223" t="s">
        <v>14</v>
      </c>
      <c r="G223" t="s">
        <v>422</v>
      </c>
    </row>
    <row r="224" spans="1:11" ht="14.4" customHeight="1" x14ac:dyDescent="0.3">
      <c r="A224" t="s">
        <v>477</v>
      </c>
      <c r="B224" t="s">
        <v>37</v>
      </c>
      <c r="C224" t="s">
        <v>14</v>
      </c>
      <c r="D224" t="s">
        <v>595</v>
      </c>
      <c r="E224" t="s">
        <v>40</v>
      </c>
      <c r="F224" t="s">
        <v>478</v>
      </c>
      <c r="G224" t="s">
        <v>24</v>
      </c>
      <c r="H224" t="s">
        <v>111</v>
      </c>
      <c r="I224" t="s">
        <v>50</v>
      </c>
    </row>
    <row r="225" spans="1:9" ht="14.4" customHeight="1" x14ac:dyDescent="0.3">
      <c r="A225" t="s">
        <v>479</v>
      </c>
      <c r="B225" t="s">
        <v>37</v>
      </c>
      <c r="C225" t="s">
        <v>50</v>
      </c>
      <c r="D225" t="s">
        <v>14</v>
      </c>
      <c r="E225" t="s">
        <v>40</v>
      </c>
      <c r="F225" t="s">
        <v>111</v>
      </c>
    </row>
    <row r="226" spans="1:9" ht="14.4" customHeight="1" x14ac:dyDescent="0.3">
      <c r="A226" t="s">
        <v>480</v>
      </c>
      <c r="B226" t="s">
        <v>37</v>
      </c>
      <c r="C226" t="s">
        <v>481</v>
      </c>
      <c r="D226" t="s">
        <v>50</v>
      </c>
      <c r="E226" t="s">
        <v>40</v>
      </c>
      <c r="F226" t="s">
        <v>111</v>
      </c>
      <c r="G226" t="s">
        <v>482</v>
      </c>
      <c r="H226" t="s">
        <v>14</v>
      </c>
      <c r="I226" t="s">
        <v>595</v>
      </c>
    </row>
    <row r="227" spans="1:9" ht="14.4" customHeight="1" x14ac:dyDescent="0.3">
      <c r="A227" t="s">
        <v>483</v>
      </c>
      <c r="B227" t="s">
        <v>37</v>
      </c>
      <c r="C227" t="s">
        <v>50</v>
      </c>
      <c r="D227" t="s">
        <v>40</v>
      </c>
      <c r="E227" t="s">
        <v>14</v>
      </c>
    </row>
    <row r="228" spans="1:9" ht="14.4" customHeight="1" x14ac:dyDescent="0.3">
      <c r="A228" t="s">
        <v>484</v>
      </c>
      <c r="B228" t="s">
        <v>37</v>
      </c>
      <c r="C228" t="s">
        <v>50</v>
      </c>
      <c r="D228" t="s">
        <v>40</v>
      </c>
      <c r="E228" t="s">
        <v>14</v>
      </c>
      <c r="F228" t="s">
        <v>111</v>
      </c>
      <c r="G228" t="s">
        <v>485</v>
      </c>
      <c r="H228" t="s">
        <v>422</v>
      </c>
    </row>
    <row r="229" spans="1:9" ht="14.4" customHeight="1" x14ac:dyDescent="0.3">
      <c r="A229" t="s">
        <v>486</v>
      </c>
      <c r="B229" t="s">
        <v>37</v>
      </c>
      <c r="C229" t="s">
        <v>50</v>
      </c>
      <c r="D229" t="s">
        <v>40</v>
      </c>
      <c r="E229" t="s">
        <v>14</v>
      </c>
      <c r="F229" t="s">
        <v>111</v>
      </c>
      <c r="G229" t="s">
        <v>422</v>
      </c>
      <c r="H229" t="s">
        <v>487</v>
      </c>
      <c r="I229" t="s">
        <v>14</v>
      </c>
    </row>
    <row r="230" spans="1:9" ht="14.4" customHeight="1" x14ac:dyDescent="0.3">
      <c r="A230" t="s">
        <v>488</v>
      </c>
      <c r="B230" t="s">
        <v>37</v>
      </c>
      <c r="C230" t="s">
        <v>50</v>
      </c>
      <c r="D230" t="s">
        <v>40</v>
      </c>
      <c r="E230" t="s">
        <v>14</v>
      </c>
      <c r="F230" t="s">
        <v>111</v>
      </c>
    </row>
    <row r="231" spans="1:9" ht="14.4" customHeight="1" x14ac:dyDescent="0.3">
      <c r="A231" t="s">
        <v>489</v>
      </c>
      <c r="B231" t="s">
        <v>37</v>
      </c>
      <c r="C231" t="s">
        <v>40</v>
      </c>
      <c r="D231" t="s">
        <v>595</v>
      </c>
      <c r="E231" t="s">
        <v>14</v>
      </c>
      <c r="F231" t="s">
        <v>50</v>
      </c>
      <c r="G231" t="s">
        <v>490</v>
      </c>
    </row>
    <row r="232" spans="1:9" ht="14.4" customHeight="1" x14ac:dyDescent="0.3">
      <c r="A232" t="s">
        <v>491</v>
      </c>
      <c r="B232" t="s">
        <v>37</v>
      </c>
      <c r="C232" t="s">
        <v>50</v>
      </c>
      <c r="D232" t="s">
        <v>595</v>
      </c>
      <c r="E232" t="s">
        <v>14</v>
      </c>
      <c r="F232" t="s">
        <v>40</v>
      </c>
      <c r="G232" t="s">
        <v>111</v>
      </c>
    </row>
    <row r="233" spans="1:9" ht="14.4" customHeight="1" x14ac:dyDescent="0.3">
      <c r="A233" t="s">
        <v>492</v>
      </c>
      <c r="B233" t="s">
        <v>37</v>
      </c>
      <c r="C233" t="s">
        <v>50</v>
      </c>
      <c r="D233" t="s">
        <v>595</v>
      </c>
      <c r="E233" t="s">
        <v>14</v>
      </c>
      <c r="F233" t="s">
        <v>40</v>
      </c>
      <c r="G233" t="s">
        <v>111</v>
      </c>
    </row>
    <row r="234" spans="1:9" ht="14.4" customHeight="1" x14ac:dyDescent="0.3">
      <c r="A234" t="s">
        <v>493</v>
      </c>
      <c r="B234" t="s">
        <v>37</v>
      </c>
      <c r="C234" t="s">
        <v>50</v>
      </c>
      <c r="D234" t="s">
        <v>595</v>
      </c>
      <c r="E234" t="s">
        <v>14</v>
      </c>
      <c r="F234" t="s">
        <v>40</v>
      </c>
      <c r="G234" t="s">
        <v>111</v>
      </c>
    </row>
    <row r="235" spans="1:9" s="12" customFormat="1" ht="14.4" customHeight="1" x14ac:dyDescent="0.3">
      <c r="A235" s="12" t="s">
        <v>494</v>
      </c>
    </row>
    <row r="236" spans="1:9" ht="14.4" customHeight="1" x14ac:dyDescent="0.3">
      <c r="A236" t="s">
        <v>495</v>
      </c>
      <c r="B236" t="s">
        <v>37</v>
      </c>
      <c r="C236" t="s">
        <v>50</v>
      </c>
      <c r="D236" t="s">
        <v>40</v>
      </c>
      <c r="E236" t="s">
        <v>14</v>
      </c>
      <c r="F236" t="s">
        <v>595</v>
      </c>
      <c r="G236" t="s">
        <v>496</v>
      </c>
      <c r="H236" t="s">
        <v>487</v>
      </c>
      <c r="I236" t="s">
        <v>367</v>
      </c>
    </row>
    <row r="237" spans="1:9" ht="14.4" customHeight="1" x14ac:dyDescent="0.3">
      <c r="A237" t="s">
        <v>497</v>
      </c>
      <c r="B237" t="s">
        <v>37</v>
      </c>
      <c r="C237" t="s">
        <v>50</v>
      </c>
      <c r="D237" t="s">
        <v>40</v>
      </c>
      <c r="E237" t="s">
        <v>14</v>
      </c>
      <c r="F237" t="s">
        <v>498</v>
      </c>
    </row>
    <row r="238" spans="1:9" ht="14.4" customHeight="1" x14ac:dyDescent="0.3">
      <c r="A238" t="s">
        <v>499</v>
      </c>
      <c r="B238" t="s">
        <v>37</v>
      </c>
      <c r="C238" t="s">
        <v>50</v>
      </c>
      <c r="D238" t="s">
        <v>111</v>
      </c>
      <c r="E238" t="s">
        <v>302</v>
      </c>
      <c r="F238" t="s">
        <v>500</v>
      </c>
    </row>
    <row r="239" spans="1:9" ht="14.4" customHeight="1" x14ac:dyDescent="0.3">
      <c r="A239" t="s">
        <v>501</v>
      </c>
      <c r="B239" t="s">
        <v>37</v>
      </c>
      <c r="C239" t="s">
        <v>50</v>
      </c>
      <c r="D239" t="s">
        <v>14</v>
      </c>
      <c r="E239" t="s">
        <v>595</v>
      </c>
      <c r="F239" t="s">
        <v>40</v>
      </c>
      <c r="G239" t="s">
        <v>302</v>
      </c>
      <c r="H239" t="s">
        <v>502</v>
      </c>
    </row>
    <row r="240" spans="1:9" ht="14.4" customHeight="1" x14ac:dyDescent="0.3">
      <c r="A240" t="s">
        <v>503</v>
      </c>
      <c r="B240" t="s">
        <v>37</v>
      </c>
      <c r="C240" t="s">
        <v>50</v>
      </c>
      <c r="D240" t="s">
        <v>14</v>
      </c>
      <c r="E240" t="s">
        <v>40</v>
      </c>
      <c r="F240" t="s">
        <v>111</v>
      </c>
    </row>
    <row r="241" spans="1:26" ht="14.4" customHeight="1" x14ac:dyDescent="0.3">
      <c r="A241" t="s">
        <v>504</v>
      </c>
      <c r="B241" t="s">
        <v>37</v>
      </c>
      <c r="C241" t="s">
        <v>50</v>
      </c>
      <c r="D241" t="s">
        <v>14</v>
      </c>
      <c r="E241" t="s">
        <v>40</v>
      </c>
      <c r="F241" t="s">
        <v>111</v>
      </c>
      <c r="G241" t="s">
        <v>505</v>
      </c>
    </row>
    <row r="242" spans="1:26" ht="14.4" customHeight="1" x14ac:dyDescent="0.3">
      <c r="A242" t="s">
        <v>506</v>
      </c>
      <c r="B242" t="s">
        <v>37</v>
      </c>
      <c r="C242" t="s">
        <v>50</v>
      </c>
      <c r="D242" t="s">
        <v>478</v>
      </c>
      <c r="E242" t="s">
        <v>14</v>
      </c>
      <c r="F242" t="s">
        <v>111</v>
      </c>
      <c r="G242" t="s">
        <v>40</v>
      </c>
      <c r="H242" t="s">
        <v>112</v>
      </c>
    </row>
    <row r="243" spans="1:26" ht="14.4" customHeight="1" x14ac:dyDescent="0.3">
      <c r="A243" t="s">
        <v>507</v>
      </c>
      <c r="B243" t="s">
        <v>37</v>
      </c>
      <c r="C243" t="s">
        <v>50</v>
      </c>
      <c r="D243" t="s">
        <v>40</v>
      </c>
      <c r="E243" t="s">
        <v>14</v>
      </c>
      <c r="F243" t="s">
        <v>111</v>
      </c>
      <c r="G243" t="s">
        <v>490</v>
      </c>
      <c r="H243" t="s">
        <v>302</v>
      </c>
    </row>
    <row r="244" spans="1:26" ht="14.4" customHeight="1" x14ac:dyDescent="0.3">
      <c r="A244" t="s">
        <v>508</v>
      </c>
      <c r="B244" t="s">
        <v>37</v>
      </c>
      <c r="C244" t="s">
        <v>50</v>
      </c>
      <c r="D244" t="s">
        <v>595</v>
      </c>
      <c r="E244" t="s">
        <v>14</v>
      </c>
    </row>
    <row r="245" spans="1:26" ht="14.4" customHeight="1" x14ac:dyDescent="0.3">
      <c r="A245" t="s">
        <v>509</v>
      </c>
      <c r="B245" t="s">
        <v>37</v>
      </c>
      <c r="C245" t="s">
        <v>50</v>
      </c>
      <c r="D245" t="s">
        <v>40</v>
      </c>
      <c r="E245" t="s">
        <v>14</v>
      </c>
      <c r="F245" t="s">
        <v>475</v>
      </c>
      <c r="G245" t="s">
        <v>498</v>
      </c>
    </row>
    <row r="246" spans="1:26" ht="14.4" customHeight="1" x14ac:dyDescent="0.3">
      <c r="A246" t="s">
        <v>510</v>
      </c>
    </row>
    <row r="247" spans="1:26" ht="14.4" customHeight="1" x14ac:dyDescent="0.3">
      <c r="A247" t="s">
        <v>511</v>
      </c>
      <c r="B247" t="s">
        <v>37</v>
      </c>
      <c r="C247" t="s">
        <v>50</v>
      </c>
      <c r="D247" t="s">
        <v>40</v>
      </c>
      <c r="E247" t="s">
        <v>14</v>
      </c>
      <c r="F247" t="s">
        <v>498</v>
      </c>
    </row>
    <row r="248" spans="1:26" ht="14.4" customHeight="1" x14ac:dyDescent="0.3">
      <c r="A248" t="s">
        <v>512</v>
      </c>
      <c r="B248" t="s">
        <v>37</v>
      </c>
      <c r="C248" t="s">
        <v>50</v>
      </c>
      <c r="D248" t="s">
        <v>40</v>
      </c>
      <c r="E248" t="s">
        <v>595</v>
      </c>
      <c r="F248" t="s">
        <v>14</v>
      </c>
    </row>
    <row r="249" spans="1:26" ht="14.4" customHeight="1" x14ac:dyDescent="0.3">
      <c r="A249" t="s">
        <v>513</v>
      </c>
      <c r="B249" t="s">
        <v>37</v>
      </c>
      <c r="C249" t="s">
        <v>50</v>
      </c>
      <c r="D249" t="s">
        <v>40</v>
      </c>
      <c r="E249" t="s">
        <v>595</v>
      </c>
      <c r="F249" t="s">
        <v>14</v>
      </c>
    </row>
    <row r="250" spans="1:26" ht="14.4" customHeight="1" x14ac:dyDescent="0.3">
      <c r="A250" t="s">
        <v>514</v>
      </c>
      <c r="B250" t="s">
        <v>37</v>
      </c>
      <c r="C250" t="s">
        <v>50</v>
      </c>
      <c r="D250" t="s">
        <v>40</v>
      </c>
      <c r="E250" t="s">
        <v>14</v>
      </c>
      <c r="F250" t="s">
        <v>515</v>
      </c>
    </row>
    <row r="251" spans="1:26" x14ac:dyDescent="0.3">
      <c r="A251" t="s">
        <v>517</v>
      </c>
      <c r="B251" t="s">
        <v>518</v>
      </c>
      <c r="C251" t="s">
        <v>50</v>
      </c>
      <c r="D251" t="s">
        <v>519</v>
      </c>
      <c r="E251" t="s">
        <v>520</v>
      </c>
      <c r="F251" t="s">
        <v>521</v>
      </c>
      <c r="G251" t="s">
        <v>522</v>
      </c>
    </row>
    <row r="252" spans="1:26" s="12" customFormat="1" ht="15" thickBot="1" x14ac:dyDescent="0.35">
      <c r="A252" s="13" t="s">
        <v>120</v>
      </c>
      <c r="F252" s="12" t="s">
        <v>523</v>
      </c>
      <c r="Z252"/>
    </row>
    <row r="253" spans="1:26" ht="14.4" customHeight="1" x14ac:dyDescent="0.3">
      <c r="A253" t="s">
        <v>525</v>
      </c>
    </row>
    <row r="254" spans="1:26" s="12" customFormat="1" ht="15" customHeight="1" thickBot="1" x14ac:dyDescent="0.35">
      <c r="A254" s="14" t="s">
        <v>526</v>
      </c>
      <c r="Z254"/>
    </row>
    <row r="255" spans="1:26" ht="15" customHeight="1" x14ac:dyDescent="0.3">
      <c r="A255" s="15" t="s">
        <v>527</v>
      </c>
    </row>
    <row r="256" spans="1:26" x14ac:dyDescent="0.3">
      <c r="A256" s="15" t="s">
        <v>529</v>
      </c>
      <c r="B256" t="s">
        <v>37</v>
      </c>
      <c r="C256" t="s">
        <v>14</v>
      </c>
      <c r="D256" t="s">
        <v>530</v>
      </c>
      <c r="E256" t="s">
        <v>50</v>
      </c>
    </row>
    <row r="257" spans="1:9" x14ac:dyDescent="0.3">
      <c r="A257" s="15" t="s">
        <v>532</v>
      </c>
      <c r="B257" t="s">
        <v>37</v>
      </c>
      <c r="C257" t="s">
        <v>50</v>
      </c>
      <c r="D257" t="s">
        <v>533</v>
      </c>
      <c r="E257" t="s">
        <v>40</v>
      </c>
      <c r="F257" t="s">
        <v>3</v>
      </c>
      <c r="G257" t="s">
        <v>14</v>
      </c>
      <c r="H257" t="s">
        <v>112</v>
      </c>
      <c r="I257" t="s">
        <v>595</v>
      </c>
    </row>
    <row r="258" spans="1:9" x14ac:dyDescent="0.3">
      <c r="A258" s="15" t="s">
        <v>535</v>
      </c>
      <c r="B258" t="s">
        <v>37</v>
      </c>
      <c r="C258" t="s">
        <v>40</v>
      </c>
      <c r="D258" t="s">
        <v>356</v>
      </c>
      <c r="E258" t="s">
        <v>14</v>
      </c>
      <c r="F258" t="s">
        <v>24</v>
      </c>
      <c r="G258" t="s">
        <v>536</v>
      </c>
      <c r="H258" t="s">
        <v>537</v>
      </c>
    </row>
    <row r="259" spans="1:9" x14ac:dyDescent="0.3">
      <c r="A259" s="15" t="s">
        <v>539</v>
      </c>
      <c r="B259" t="s">
        <v>37</v>
      </c>
      <c r="C259" t="s">
        <v>515</v>
      </c>
      <c r="D259" t="s">
        <v>63</v>
      </c>
      <c r="E259" t="s">
        <v>3</v>
      </c>
      <c r="F259" t="s">
        <v>540</v>
      </c>
      <c r="G259" t="s">
        <v>541</v>
      </c>
      <c r="H259" t="s">
        <v>422</v>
      </c>
    </row>
    <row r="260" spans="1:9" x14ac:dyDescent="0.3">
      <c r="A260" s="15" t="s">
        <v>543</v>
      </c>
    </row>
    <row r="261" spans="1:9" x14ac:dyDescent="0.3">
      <c r="A261" s="15" t="s">
        <v>545</v>
      </c>
    </row>
    <row r="262" spans="1:9" x14ac:dyDescent="0.3">
      <c r="A262" s="15" t="s">
        <v>547</v>
      </c>
    </row>
    <row r="263" spans="1:9" x14ac:dyDescent="0.3">
      <c r="A263" s="15" t="s">
        <v>549</v>
      </c>
    </row>
    <row r="264" spans="1:9" ht="14.4" customHeight="1" x14ac:dyDescent="0.3">
      <c r="A264" s="15" t="s">
        <v>550</v>
      </c>
    </row>
    <row r="265" spans="1:9" ht="14.4" customHeight="1" x14ac:dyDescent="0.3">
      <c r="A265" s="15" t="s">
        <v>551</v>
      </c>
    </row>
    <row r="266" spans="1:9" ht="14.4" customHeight="1" x14ac:dyDescent="0.3">
      <c r="A266" s="15" t="s">
        <v>552</v>
      </c>
    </row>
    <row r="267" spans="1:9" ht="14.4" customHeight="1" x14ac:dyDescent="0.3">
      <c r="A267" s="15" t="s">
        <v>553</v>
      </c>
    </row>
    <row r="268" spans="1:9" x14ac:dyDescent="0.3">
      <c r="A268" s="15" t="s">
        <v>554</v>
      </c>
    </row>
  </sheetData>
  <autoFilter ref="A1:K268" xr:uid="{F839B845-8F43-4F0D-9F6F-E4EA8EFE1815}"/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1980-9281-432A-9C2B-1226148BF64F}">
  <dimension ref="A1:B229"/>
  <sheetViews>
    <sheetView topLeftCell="A2" workbookViewId="0">
      <selection activeCell="I8" sqref="I8"/>
    </sheetView>
  </sheetViews>
  <sheetFormatPr defaultRowHeight="14.4" x14ac:dyDescent="0.3"/>
  <cols>
    <col min="1" max="1" width="70.6640625" bestFit="1" customWidth="1"/>
    <col min="2" max="2" width="41.77734375" customWidth="1"/>
  </cols>
  <sheetData>
    <row r="1" spans="1:2" ht="27" customHeight="1" x14ac:dyDescent="0.3">
      <c r="A1" s="16" t="s">
        <v>555</v>
      </c>
      <c r="B1" s="17" t="s">
        <v>556</v>
      </c>
    </row>
    <row r="2" spans="1:2" x14ac:dyDescent="0.3">
      <c r="A2" t="s">
        <v>2</v>
      </c>
      <c r="B2" s="28" t="s">
        <v>14</v>
      </c>
    </row>
    <row r="3" spans="1:2" x14ac:dyDescent="0.3">
      <c r="A3" s="27" t="s">
        <v>12</v>
      </c>
      <c r="B3" t="s">
        <v>17</v>
      </c>
    </row>
    <row r="4" spans="1:2" x14ac:dyDescent="0.3">
      <c r="A4" t="s">
        <v>17</v>
      </c>
      <c r="B4" t="s">
        <v>50</v>
      </c>
    </row>
    <row r="5" spans="1:2" x14ac:dyDescent="0.3">
      <c r="A5" t="s">
        <v>21</v>
      </c>
      <c r="B5" s="28" t="s">
        <v>35</v>
      </c>
    </row>
    <row r="6" spans="1:2" x14ac:dyDescent="0.3">
      <c r="A6" s="27" t="s">
        <v>29</v>
      </c>
      <c r="B6" s="28" t="s">
        <v>37</v>
      </c>
    </row>
    <row r="7" spans="1:2" x14ac:dyDescent="0.3">
      <c r="A7" t="s">
        <v>37</v>
      </c>
      <c r="B7" s="28" t="s">
        <v>111</v>
      </c>
    </row>
    <row r="8" spans="1:2" x14ac:dyDescent="0.3">
      <c r="A8" t="s">
        <v>53</v>
      </c>
      <c r="B8" s="28" t="s">
        <v>557</v>
      </c>
    </row>
    <row r="9" spans="1:2" x14ac:dyDescent="0.3">
      <c r="A9" t="s">
        <v>60</v>
      </c>
      <c r="B9" s="28" t="s">
        <v>356</v>
      </c>
    </row>
    <row r="10" spans="1:2" x14ac:dyDescent="0.3">
      <c r="A10" t="s">
        <v>63</v>
      </c>
      <c r="B10" t="s">
        <v>515</v>
      </c>
    </row>
    <row r="11" spans="1:2" x14ac:dyDescent="0.3">
      <c r="A11" t="s">
        <v>40</v>
      </c>
      <c r="B11" t="s">
        <v>45</v>
      </c>
    </row>
    <row r="12" spans="1:2" x14ac:dyDescent="0.3">
      <c r="A12" t="s">
        <v>88</v>
      </c>
      <c r="B12" t="s">
        <v>392</v>
      </c>
    </row>
    <row r="13" spans="1:2" x14ac:dyDescent="0.3">
      <c r="A13" t="s">
        <v>91</v>
      </c>
      <c r="B13" t="s">
        <v>217</v>
      </c>
    </row>
    <row r="14" spans="1:2" x14ac:dyDescent="0.3">
      <c r="A14" t="s">
        <v>98</v>
      </c>
      <c r="B14" t="s">
        <v>4</v>
      </c>
    </row>
    <row r="15" spans="1:2" x14ac:dyDescent="0.3">
      <c r="A15" t="s">
        <v>111</v>
      </c>
      <c r="B15" t="s">
        <v>558</v>
      </c>
    </row>
    <row r="16" spans="1:2" x14ac:dyDescent="0.3">
      <c r="A16" t="s">
        <v>121</v>
      </c>
      <c r="B16" t="s">
        <v>372</v>
      </c>
    </row>
    <row r="17" spans="1:2" x14ac:dyDescent="0.3">
      <c r="A17" t="s">
        <v>101</v>
      </c>
      <c r="B17" t="s">
        <v>346</v>
      </c>
    </row>
    <row r="18" spans="1:2" x14ac:dyDescent="0.3">
      <c r="A18" t="s">
        <v>142</v>
      </c>
      <c r="B18" t="s">
        <v>255</v>
      </c>
    </row>
    <row r="19" spans="1:2" x14ac:dyDescent="0.3">
      <c r="A19" t="s">
        <v>136</v>
      </c>
      <c r="B19" t="s">
        <v>350</v>
      </c>
    </row>
    <row r="20" spans="1:2" x14ac:dyDescent="0.3">
      <c r="A20" t="s">
        <v>152</v>
      </c>
      <c r="B20" t="s">
        <v>440</v>
      </c>
    </row>
    <row r="21" spans="1:2" x14ac:dyDescent="0.3">
      <c r="A21" t="s">
        <v>157</v>
      </c>
      <c r="B21" t="s">
        <v>465</v>
      </c>
    </row>
    <row r="22" spans="1:2" x14ac:dyDescent="0.3">
      <c r="A22" t="s">
        <v>166</v>
      </c>
      <c r="B22" s="28" t="s">
        <v>24</v>
      </c>
    </row>
    <row r="23" spans="1:2" x14ac:dyDescent="0.3">
      <c r="A23" t="s">
        <v>183</v>
      </c>
      <c r="B23" t="s">
        <v>82</v>
      </c>
    </row>
    <row r="24" spans="1:2" x14ac:dyDescent="0.3">
      <c r="A24" t="s">
        <v>186</v>
      </c>
      <c r="B24" t="s">
        <v>559</v>
      </c>
    </row>
    <row r="25" spans="1:2" x14ac:dyDescent="0.3">
      <c r="A25" t="s">
        <v>197</v>
      </c>
      <c r="B25" t="s">
        <v>560</v>
      </c>
    </row>
    <row r="26" spans="1:2" x14ac:dyDescent="0.3">
      <c r="A26" t="s">
        <v>255</v>
      </c>
      <c r="B26" t="s">
        <v>302</v>
      </c>
    </row>
    <row r="27" spans="1:2" x14ac:dyDescent="0.3">
      <c r="A27" t="s">
        <v>264</v>
      </c>
      <c r="B27" t="s">
        <v>561</v>
      </c>
    </row>
    <row r="28" spans="1:2" x14ac:dyDescent="0.3">
      <c r="A28" t="s">
        <v>275</v>
      </c>
      <c r="B28" t="s">
        <v>5</v>
      </c>
    </row>
    <row r="29" spans="1:2" x14ac:dyDescent="0.3">
      <c r="A29" t="s">
        <v>281</v>
      </c>
      <c r="B29" t="s">
        <v>255</v>
      </c>
    </row>
    <row r="30" spans="1:2" x14ac:dyDescent="0.3">
      <c r="A30" t="s">
        <v>307</v>
      </c>
      <c r="B30" t="s">
        <v>384</v>
      </c>
    </row>
    <row r="31" spans="1:2" x14ac:dyDescent="0.3">
      <c r="A31" t="s">
        <v>158</v>
      </c>
      <c r="B31" t="s">
        <v>40</v>
      </c>
    </row>
    <row r="32" spans="1:2" x14ac:dyDescent="0.3">
      <c r="A32" t="s">
        <v>342</v>
      </c>
    </row>
    <row r="33" spans="1:1" x14ac:dyDescent="0.3">
      <c r="A33" t="s">
        <v>350</v>
      </c>
    </row>
    <row r="34" spans="1:1" x14ac:dyDescent="0.3">
      <c r="A34" t="s">
        <v>356</v>
      </c>
    </row>
    <row r="35" spans="1:1" x14ac:dyDescent="0.3">
      <c r="A35" t="s">
        <v>396</v>
      </c>
    </row>
    <row r="36" spans="1:1" x14ac:dyDescent="0.3">
      <c r="A36" t="s">
        <v>45</v>
      </c>
    </row>
    <row r="37" spans="1:1" x14ac:dyDescent="0.3">
      <c r="A37" t="s">
        <v>438</v>
      </c>
    </row>
    <row r="38" spans="1:1" x14ac:dyDescent="0.3">
      <c r="A38" t="s">
        <v>440</v>
      </c>
    </row>
    <row r="39" spans="1:1" x14ac:dyDescent="0.3">
      <c r="A39" t="s">
        <v>452</v>
      </c>
    </row>
    <row r="40" spans="1:1" x14ac:dyDescent="0.3">
      <c r="A40" t="s">
        <v>303</v>
      </c>
    </row>
    <row r="41" spans="1:1" x14ac:dyDescent="0.3">
      <c r="A41" t="s">
        <v>518</v>
      </c>
    </row>
    <row r="42" spans="1:1" x14ac:dyDescent="0.3">
      <c r="A42" t="s">
        <v>462</v>
      </c>
    </row>
    <row r="43" spans="1:1" x14ac:dyDescent="0.3">
      <c r="A43" t="s">
        <v>3</v>
      </c>
    </row>
    <row r="44" spans="1:1" x14ac:dyDescent="0.3">
      <c r="A44" t="s">
        <v>13</v>
      </c>
    </row>
    <row r="45" spans="1:1" x14ac:dyDescent="0.3">
      <c r="A45" t="s">
        <v>18</v>
      </c>
    </row>
    <row r="46" spans="1:1" x14ac:dyDescent="0.3">
      <c r="A46" t="s">
        <v>4</v>
      </c>
    </row>
    <row r="47" spans="1:1" x14ac:dyDescent="0.3">
      <c r="A47" t="s">
        <v>24</v>
      </c>
    </row>
    <row r="48" spans="1:1" x14ac:dyDescent="0.3">
      <c r="A48" t="s">
        <v>30</v>
      </c>
    </row>
    <row r="49" spans="1:1" x14ac:dyDescent="0.3">
      <c r="A49" t="s">
        <v>8</v>
      </c>
    </row>
    <row r="50" spans="1:1" x14ac:dyDescent="0.3">
      <c r="A50" t="s">
        <v>44</v>
      </c>
    </row>
    <row r="51" spans="1:1" x14ac:dyDescent="0.3">
      <c r="A51" t="s">
        <v>54</v>
      </c>
    </row>
    <row r="52" spans="1:1" x14ac:dyDescent="0.3">
      <c r="A52" t="s">
        <v>82</v>
      </c>
    </row>
    <row r="53" spans="1:1" x14ac:dyDescent="0.3">
      <c r="A53" t="s">
        <v>99</v>
      </c>
    </row>
    <row r="54" spans="1:1" x14ac:dyDescent="0.3">
      <c r="A54" t="s">
        <v>117</v>
      </c>
    </row>
    <row r="55" spans="1:1" x14ac:dyDescent="0.3">
      <c r="A55" t="s">
        <v>134</v>
      </c>
    </row>
    <row r="56" spans="1:1" x14ac:dyDescent="0.3">
      <c r="A56" t="s">
        <v>143</v>
      </c>
    </row>
    <row r="57" spans="1:1" x14ac:dyDescent="0.3">
      <c r="A57" t="s">
        <v>146</v>
      </c>
    </row>
    <row r="58" spans="1:1" x14ac:dyDescent="0.3">
      <c r="A58" t="s">
        <v>153</v>
      </c>
    </row>
    <row r="59" spans="1:1" x14ac:dyDescent="0.3">
      <c r="A59" t="s">
        <v>160</v>
      </c>
    </row>
    <row r="60" spans="1:1" x14ac:dyDescent="0.3">
      <c r="A60" t="s">
        <v>167</v>
      </c>
    </row>
    <row r="61" spans="1:1" x14ac:dyDescent="0.3">
      <c r="A61" t="s">
        <v>170</v>
      </c>
    </row>
    <row r="62" spans="1:1" x14ac:dyDescent="0.3">
      <c r="A62" t="s">
        <v>177</v>
      </c>
    </row>
    <row r="63" spans="1:1" x14ac:dyDescent="0.3">
      <c r="A63" t="s">
        <v>187</v>
      </c>
    </row>
    <row r="64" spans="1:1" x14ac:dyDescent="0.3">
      <c r="A64" t="s">
        <v>208</v>
      </c>
    </row>
    <row r="65" spans="1:1" x14ac:dyDescent="0.3">
      <c r="A65" t="s">
        <v>216</v>
      </c>
    </row>
    <row r="66" spans="1:1" x14ac:dyDescent="0.3">
      <c r="A66" t="s">
        <v>224</v>
      </c>
    </row>
    <row r="67" spans="1:1" x14ac:dyDescent="0.3">
      <c r="A67" t="s">
        <v>221</v>
      </c>
    </row>
    <row r="68" spans="1:1" x14ac:dyDescent="0.3">
      <c r="A68" t="s">
        <v>250</v>
      </c>
    </row>
    <row r="69" spans="1:1" x14ac:dyDescent="0.3">
      <c r="A69" t="s">
        <v>260</v>
      </c>
    </row>
    <row r="70" spans="1:1" x14ac:dyDescent="0.3">
      <c r="A70" t="s">
        <v>266</v>
      </c>
    </row>
    <row r="71" spans="1:1" x14ac:dyDescent="0.3">
      <c r="A71" t="s">
        <v>271</v>
      </c>
    </row>
    <row r="72" spans="1:1" x14ac:dyDescent="0.3">
      <c r="A72" t="s">
        <v>276</v>
      </c>
    </row>
    <row r="73" spans="1:1" x14ac:dyDescent="0.3">
      <c r="A73" t="s">
        <v>282</v>
      </c>
    </row>
    <row r="74" spans="1:1" x14ac:dyDescent="0.3">
      <c r="A74" t="s">
        <v>300</v>
      </c>
    </row>
    <row r="75" spans="1:1" x14ac:dyDescent="0.3">
      <c r="A75" t="s">
        <v>363</v>
      </c>
    </row>
    <row r="76" spans="1:1" x14ac:dyDescent="0.3">
      <c r="A76" t="s">
        <v>365</v>
      </c>
    </row>
    <row r="77" spans="1:1" x14ac:dyDescent="0.3">
      <c r="A77" t="s">
        <v>375</v>
      </c>
    </row>
    <row r="78" spans="1:1" x14ac:dyDescent="0.3">
      <c r="A78" t="s">
        <v>384</v>
      </c>
    </row>
    <row r="79" spans="1:1" x14ac:dyDescent="0.3">
      <c r="A79" t="s">
        <v>367</v>
      </c>
    </row>
    <row r="80" spans="1:1" x14ac:dyDescent="0.3">
      <c r="A80" t="s">
        <v>302</v>
      </c>
    </row>
    <row r="81" spans="1:1" x14ac:dyDescent="0.3">
      <c r="A81" t="s">
        <v>434</v>
      </c>
    </row>
    <row r="82" spans="1:1" x14ac:dyDescent="0.3">
      <c r="A82" t="s">
        <v>454</v>
      </c>
    </row>
    <row r="83" spans="1:1" x14ac:dyDescent="0.3">
      <c r="A83" t="s">
        <v>474</v>
      </c>
    </row>
    <row r="84" spans="1:1" x14ac:dyDescent="0.3">
      <c r="A84" t="s">
        <v>481</v>
      </c>
    </row>
    <row r="85" spans="1:1" x14ac:dyDescent="0.3">
      <c r="A85" t="s">
        <v>515</v>
      </c>
    </row>
    <row r="86" spans="1:1" x14ac:dyDescent="0.3">
      <c r="A86" t="s">
        <v>31</v>
      </c>
    </row>
    <row r="87" spans="1:1" x14ac:dyDescent="0.3">
      <c r="A87" t="s">
        <v>36</v>
      </c>
    </row>
    <row r="88" spans="1:1" x14ac:dyDescent="0.3">
      <c r="A88" t="s">
        <v>55</v>
      </c>
    </row>
    <row r="89" spans="1:1" x14ac:dyDescent="0.3">
      <c r="A89" t="s">
        <v>67</v>
      </c>
    </row>
    <row r="90" spans="1:1" x14ac:dyDescent="0.3">
      <c r="A90" t="s">
        <v>94</v>
      </c>
    </row>
    <row r="91" spans="1:1" x14ac:dyDescent="0.3">
      <c r="A91" t="s">
        <v>108</v>
      </c>
    </row>
    <row r="92" spans="1:1" x14ac:dyDescent="0.3">
      <c r="A92" t="s">
        <v>118</v>
      </c>
    </row>
    <row r="93" spans="1:1" x14ac:dyDescent="0.3">
      <c r="A93" t="s">
        <v>139</v>
      </c>
    </row>
    <row r="94" spans="1:1" x14ac:dyDescent="0.3">
      <c r="A94" t="s">
        <v>147</v>
      </c>
    </row>
    <row r="95" spans="1:1" x14ac:dyDescent="0.3">
      <c r="A95" t="s">
        <v>164</v>
      </c>
    </row>
    <row r="96" spans="1:1" x14ac:dyDescent="0.3">
      <c r="A96" t="s">
        <v>175</v>
      </c>
    </row>
    <row r="97" spans="1:1" x14ac:dyDescent="0.3">
      <c r="A97" t="s">
        <v>202</v>
      </c>
    </row>
    <row r="98" spans="1:1" x14ac:dyDescent="0.3">
      <c r="A98" t="s">
        <v>228</v>
      </c>
    </row>
    <row r="99" spans="1:1" x14ac:dyDescent="0.3">
      <c r="A99" t="s">
        <v>236</v>
      </c>
    </row>
    <row r="100" spans="1:1" x14ac:dyDescent="0.3">
      <c r="A100" t="s">
        <v>251</v>
      </c>
    </row>
    <row r="101" spans="1:1" x14ac:dyDescent="0.3">
      <c r="A101" t="s">
        <v>261</v>
      </c>
    </row>
    <row r="102" spans="1:1" x14ac:dyDescent="0.3">
      <c r="A102" t="s">
        <v>267</v>
      </c>
    </row>
    <row r="103" spans="1:1" x14ac:dyDescent="0.3">
      <c r="A103" t="s">
        <v>272</v>
      </c>
    </row>
    <row r="104" spans="1:1" x14ac:dyDescent="0.3">
      <c r="A104" t="s">
        <v>277</v>
      </c>
    </row>
    <row r="105" spans="1:1" x14ac:dyDescent="0.3">
      <c r="A105" t="s">
        <v>283</v>
      </c>
    </row>
    <row r="106" spans="1:1" x14ac:dyDescent="0.3">
      <c r="A106" t="s">
        <v>291</v>
      </c>
    </row>
    <row r="107" spans="1:1" x14ac:dyDescent="0.3">
      <c r="A107" t="s">
        <v>294</v>
      </c>
    </row>
    <row r="108" spans="1:1" x14ac:dyDescent="0.3">
      <c r="A108" t="s">
        <v>298</v>
      </c>
    </row>
    <row r="109" spans="1:1" x14ac:dyDescent="0.3">
      <c r="A109" t="s">
        <v>310</v>
      </c>
    </row>
    <row r="110" spans="1:1" x14ac:dyDescent="0.3">
      <c r="A110" t="s">
        <v>334</v>
      </c>
    </row>
    <row r="111" spans="1:1" x14ac:dyDescent="0.3">
      <c r="A111" t="s">
        <v>343</v>
      </c>
    </row>
    <row r="112" spans="1:1" x14ac:dyDescent="0.3">
      <c r="A112" t="s">
        <v>370</v>
      </c>
    </row>
    <row r="113" spans="1:1" x14ac:dyDescent="0.3">
      <c r="A113" t="s">
        <v>421</v>
      </c>
    </row>
    <row r="114" spans="1:1" x14ac:dyDescent="0.3">
      <c r="A114" t="s">
        <v>426</v>
      </c>
    </row>
    <row r="115" spans="1:1" x14ac:dyDescent="0.3">
      <c r="A115" t="s">
        <v>478</v>
      </c>
    </row>
    <row r="116" spans="1:1" x14ac:dyDescent="0.3">
      <c r="A116" t="s">
        <v>519</v>
      </c>
    </row>
    <row r="117" spans="1:1" x14ac:dyDescent="0.3">
      <c r="A117" t="s">
        <v>530</v>
      </c>
    </row>
    <row r="118" spans="1:1" x14ac:dyDescent="0.3">
      <c r="A118" t="s">
        <v>533</v>
      </c>
    </row>
    <row r="119" spans="1:1" x14ac:dyDescent="0.3">
      <c r="A119" t="s">
        <v>5</v>
      </c>
    </row>
    <row r="120" spans="1:1" x14ac:dyDescent="0.3">
      <c r="A120" t="s">
        <v>15</v>
      </c>
    </row>
    <row r="121" spans="1:1" x14ac:dyDescent="0.3">
      <c r="A121" t="s">
        <v>76</v>
      </c>
    </row>
    <row r="122" spans="1:1" x14ac:dyDescent="0.3">
      <c r="A122" t="s">
        <v>100</v>
      </c>
    </row>
    <row r="123" spans="1:1" x14ac:dyDescent="0.3">
      <c r="A123" t="s">
        <v>109</v>
      </c>
    </row>
    <row r="124" spans="1:1" x14ac:dyDescent="0.3">
      <c r="A124" t="s">
        <v>114</v>
      </c>
    </row>
    <row r="125" spans="1:1" x14ac:dyDescent="0.3">
      <c r="A125" t="s">
        <v>130</v>
      </c>
    </row>
    <row r="126" spans="1:1" x14ac:dyDescent="0.3">
      <c r="A126" t="s">
        <v>161</v>
      </c>
    </row>
    <row r="127" spans="1:1" x14ac:dyDescent="0.3">
      <c r="A127" t="s">
        <v>173</v>
      </c>
    </row>
    <row r="128" spans="1:1" x14ac:dyDescent="0.3">
      <c r="A128" t="s">
        <v>188</v>
      </c>
    </row>
    <row r="129" spans="1:1" x14ac:dyDescent="0.3">
      <c r="A129" t="s">
        <v>190</v>
      </c>
    </row>
    <row r="130" spans="1:1" x14ac:dyDescent="0.3">
      <c r="A130" t="s">
        <v>203</v>
      </c>
    </row>
    <row r="131" spans="1:1" x14ac:dyDescent="0.3">
      <c r="A131" t="s">
        <v>205</v>
      </c>
    </row>
    <row r="132" spans="1:1" x14ac:dyDescent="0.3">
      <c r="A132" t="s">
        <v>217</v>
      </c>
    </row>
    <row r="133" spans="1:1" x14ac:dyDescent="0.3">
      <c r="A133" t="s">
        <v>222</v>
      </c>
    </row>
    <row r="134" spans="1:1" x14ac:dyDescent="0.3">
      <c r="A134" t="s">
        <v>229</v>
      </c>
    </row>
    <row r="135" spans="1:1" x14ac:dyDescent="0.3">
      <c r="A135" t="s">
        <v>268</v>
      </c>
    </row>
    <row r="136" spans="1:1" x14ac:dyDescent="0.3">
      <c r="A136" t="s">
        <v>273</v>
      </c>
    </row>
    <row r="137" spans="1:1" x14ac:dyDescent="0.3">
      <c r="A137" t="s">
        <v>278</v>
      </c>
    </row>
    <row r="138" spans="1:1" x14ac:dyDescent="0.3">
      <c r="A138" t="s">
        <v>284</v>
      </c>
    </row>
    <row r="139" spans="1:1" x14ac:dyDescent="0.3">
      <c r="A139" t="s">
        <v>295</v>
      </c>
    </row>
    <row r="140" spans="1:1" x14ac:dyDescent="0.3">
      <c r="A140" t="s">
        <v>344</v>
      </c>
    </row>
    <row r="141" spans="1:1" x14ac:dyDescent="0.3">
      <c r="A141" t="s">
        <v>357</v>
      </c>
    </row>
    <row r="142" spans="1:1" x14ac:dyDescent="0.3">
      <c r="A142" t="s">
        <v>361</v>
      </c>
    </row>
    <row r="143" spans="1:1" x14ac:dyDescent="0.3">
      <c r="A143" t="s">
        <v>376</v>
      </c>
    </row>
    <row r="144" spans="1:1" x14ac:dyDescent="0.3">
      <c r="A144" t="s">
        <v>386</v>
      </c>
    </row>
    <row r="145" spans="1:1" x14ac:dyDescent="0.3">
      <c r="A145" t="s">
        <v>425</v>
      </c>
    </row>
    <row r="146" spans="1:1" x14ac:dyDescent="0.3">
      <c r="A146" t="s">
        <v>447</v>
      </c>
    </row>
    <row r="147" spans="1:1" x14ac:dyDescent="0.3">
      <c r="A147" t="s">
        <v>468</v>
      </c>
    </row>
    <row r="148" spans="1:1" x14ac:dyDescent="0.3">
      <c r="A148" t="s">
        <v>520</v>
      </c>
    </row>
    <row r="149" spans="1:1" x14ac:dyDescent="0.3">
      <c r="A149" t="s">
        <v>6</v>
      </c>
    </row>
    <row r="150" spans="1:1" x14ac:dyDescent="0.3">
      <c r="A150" t="s">
        <v>19</v>
      </c>
    </row>
    <row r="151" spans="1:1" x14ac:dyDescent="0.3">
      <c r="A151" t="s">
        <v>33</v>
      </c>
    </row>
    <row r="152" spans="1:1" x14ac:dyDescent="0.3">
      <c r="A152" t="s">
        <v>41</v>
      </c>
    </row>
    <row r="153" spans="1:1" x14ac:dyDescent="0.3">
      <c r="A153" t="s">
        <v>83</v>
      </c>
    </row>
    <row r="154" spans="1:1" x14ac:dyDescent="0.3">
      <c r="A154" t="s">
        <v>104</v>
      </c>
    </row>
    <row r="155" spans="1:1" x14ac:dyDescent="0.3">
      <c r="A155" t="s">
        <v>144</v>
      </c>
    </row>
    <row r="156" spans="1:1" x14ac:dyDescent="0.3">
      <c r="A156" t="s">
        <v>179</v>
      </c>
    </row>
    <row r="157" spans="1:1" x14ac:dyDescent="0.3">
      <c r="A157" s="7" t="s">
        <v>198</v>
      </c>
    </row>
    <row r="158" spans="1:1" x14ac:dyDescent="0.3">
      <c r="A158" t="s">
        <v>218</v>
      </c>
    </row>
    <row r="159" spans="1:1" x14ac:dyDescent="0.3">
      <c r="A159" t="s">
        <v>230</v>
      </c>
    </row>
    <row r="160" spans="1:1" x14ac:dyDescent="0.3">
      <c r="A160" t="s">
        <v>237</v>
      </c>
    </row>
    <row r="161" spans="1:1" x14ac:dyDescent="0.3">
      <c r="A161" t="s">
        <v>238</v>
      </c>
    </row>
    <row r="162" spans="1:1" x14ac:dyDescent="0.3">
      <c r="A162" t="s">
        <v>279</v>
      </c>
    </row>
    <row r="163" spans="1:1" x14ac:dyDescent="0.3">
      <c r="A163" t="s">
        <v>288</v>
      </c>
    </row>
    <row r="164" spans="1:1" x14ac:dyDescent="0.3">
      <c r="A164" t="s">
        <v>316</v>
      </c>
    </row>
    <row r="165" spans="1:1" x14ac:dyDescent="0.3">
      <c r="A165" t="s">
        <v>354</v>
      </c>
    </row>
    <row r="166" spans="1:1" x14ac:dyDescent="0.3">
      <c r="A166" t="s">
        <v>358</v>
      </c>
    </row>
    <row r="167" spans="1:1" x14ac:dyDescent="0.3">
      <c r="A167" t="s">
        <v>392</v>
      </c>
    </row>
    <row r="168" spans="1:1" x14ac:dyDescent="0.3">
      <c r="A168" t="s">
        <v>441</v>
      </c>
    </row>
    <row r="169" spans="1:1" x14ac:dyDescent="0.3">
      <c r="A169" t="s">
        <v>445</v>
      </c>
    </row>
    <row r="170" spans="1:1" x14ac:dyDescent="0.3">
      <c r="A170" t="s">
        <v>450</v>
      </c>
    </row>
    <row r="171" spans="1:1" x14ac:dyDescent="0.3">
      <c r="A171" t="s">
        <v>475</v>
      </c>
    </row>
    <row r="172" spans="1:1" x14ac:dyDescent="0.3">
      <c r="A172" t="s">
        <v>498</v>
      </c>
    </row>
    <row r="173" spans="1:1" x14ac:dyDescent="0.3">
      <c r="A173" t="s">
        <v>500</v>
      </c>
    </row>
    <row r="174" spans="1:1" x14ac:dyDescent="0.3">
      <c r="A174" t="s">
        <v>521</v>
      </c>
    </row>
    <row r="175" spans="1:1" x14ac:dyDescent="0.3">
      <c r="A175" t="s">
        <v>540</v>
      </c>
    </row>
    <row r="176" spans="1:1" x14ac:dyDescent="0.3">
      <c r="A176" t="s">
        <v>7</v>
      </c>
    </row>
    <row r="177" spans="1:1" x14ac:dyDescent="0.3">
      <c r="A177" t="s">
        <v>64</v>
      </c>
    </row>
    <row r="178" spans="1:1" x14ac:dyDescent="0.3">
      <c r="A178" t="s">
        <v>80</v>
      </c>
    </row>
    <row r="179" spans="1:1" x14ac:dyDescent="0.3">
      <c r="A179" t="s">
        <v>89</v>
      </c>
    </row>
    <row r="180" spans="1:1" x14ac:dyDescent="0.3">
      <c r="A180" t="s">
        <v>92</v>
      </c>
    </row>
    <row r="181" spans="1:1" x14ac:dyDescent="0.3">
      <c r="A181" t="s">
        <v>102</v>
      </c>
    </row>
    <row r="182" spans="1:1" x14ac:dyDescent="0.3">
      <c r="A182" t="s">
        <v>119</v>
      </c>
    </row>
    <row r="183" spans="1:1" x14ac:dyDescent="0.3">
      <c r="A183" t="s">
        <v>122</v>
      </c>
    </row>
    <row r="184" spans="1:1" x14ac:dyDescent="0.3">
      <c r="A184" t="s">
        <v>125</v>
      </c>
    </row>
    <row r="185" spans="1:1" x14ac:dyDescent="0.3">
      <c r="A185" t="s">
        <v>128</v>
      </c>
    </row>
    <row r="186" spans="1:1" x14ac:dyDescent="0.3">
      <c r="A186" t="s">
        <v>172</v>
      </c>
    </row>
    <row r="187" spans="1:1" x14ac:dyDescent="0.3">
      <c r="A187" t="s">
        <v>180</v>
      </c>
    </row>
    <row r="188" spans="1:1" x14ac:dyDescent="0.3">
      <c r="A188" t="s">
        <v>214</v>
      </c>
    </row>
    <row r="189" spans="1:1" x14ac:dyDescent="0.3">
      <c r="A189" t="s">
        <v>289</v>
      </c>
    </row>
    <row r="190" spans="1:1" x14ac:dyDescent="0.3">
      <c r="A190" t="s">
        <v>301</v>
      </c>
    </row>
    <row r="191" spans="1:1" x14ac:dyDescent="0.3">
      <c r="A191" t="s">
        <v>314</v>
      </c>
    </row>
    <row r="192" spans="1:1" x14ac:dyDescent="0.3">
      <c r="A192" t="s">
        <v>321</v>
      </c>
    </row>
    <row r="193" spans="1:1" x14ac:dyDescent="0.3">
      <c r="A193" t="s">
        <v>330</v>
      </c>
    </row>
    <row r="194" spans="1:1" x14ac:dyDescent="0.3">
      <c r="A194" t="s">
        <v>422</v>
      </c>
    </row>
    <row r="195" spans="1:1" x14ac:dyDescent="0.3">
      <c r="A195" t="s">
        <v>435</v>
      </c>
    </row>
    <row r="196" spans="1:1" x14ac:dyDescent="0.3">
      <c r="A196" t="s">
        <v>465</v>
      </c>
    </row>
    <row r="197" spans="1:1" x14ac:dyDescent="0.3">
      <c r="A197" t="s">
        <v>469</v>
      </c>
    </row>
    <row r="198" spans="1:1" x14ac:dyDescent="0.3">
      <c r="A198" t="s">
        <v>472</v>
      </c>
    </row>
    <row r="199" spans="1:1" x14ac:dyDescent="0.3">
      <c r="A199" t="s">
        <v>482</v>
      </c>
    </row>
    <row r="200" spans="1:1" x14ac:dyDescent="0.3">
      <c r="A200" t="s">
        <v>490</v>
      </c>
    </row>
    <row r="201" spans="1:1" x14ac:dyDescent="0.3">
      <c r="A201" t="s">
        <v>496</v>
      </c>
    </row>
    <row r="202" spans="1:1" x14ac:dyDescent="0.3">
      <c r="A202" t="s">
        <v>505</v>
      </c>
    </row>
    <row r="203" spans="1:1" x14ac:dyDescent="0.3">
      <c r="A203" t="s">
        <v>522</v>
      </c>
    </row>
    <row r="204" spans="1:1" x14ac:dyDescent="0.3">
      <c r="A204" t="s">
        <v>536</v>
      </c>
    </row>
    <row r="205" spans="1:1" x14ac:dyDescent="0.3">
      <c r="A205" t="s">
        <v>541</v>
      </c>
    </row>
    <row r="206" spans="1:1" x14ac:dyDescent="0.3">
      <c r="A206" t="s">
        <v>48</v>
      </c>
    </row>
    <row r="207" spans="1:1" x14ac:dyDescent="0.3">
      <c r="A207" t="s">
        <v>126</v>
      </c>
    </row>
    <row r="208" spans="1:1" x14ac:dyDescent="0.3">
      <c r="A208" t="s">
        <v>131</v>
      </c>
    </row>
    <row r="209" spans="1:1" x14ac:dyDescent="0.3">
      <c r="A209" t="s">
        <v>181</v>
      </c>
    </row>
    <row r="210" spans="1:1" x14ac:dyDescent="0.3">
      <c r="A210" t="s">
        <v>308</v>
      </c>
    </row>
    <row r="211" spans="1:1" x14ac:dyDescent="0.3">
      <c r="A211" t="s">
        <v>331</v>
      </c>
    </row>
    <row r="212" spans="1:1" x14ac:dyDescent="0.3">
      <c r="A212" t="s">
        <v>345</v>
      </c>
    </row>
    <row r="213" spans="1:1" x14ac:dyDescent="0.3">
      <c r="A213" t="s">
        <v>359</v>
      </c>
    </row>
    <row r="214" spans="1:1" x14ac:dyDescent="0.3">
      <c r="A214" t="s">
        <v>371</v>
      </c>
    </row>
    <row r="215" spans="1:1" x14ac:dyDescent="0.3">
      <c r="A215" t="s">
        <v>411</v>
      </c>
    </row>
    <row r="216" spans="1:1" x14ac:dyDescent="0.3">
      <c r="A216" t="s">
        <v>442</v>
      </c>
    </row>
    <row r="217" spans="1:1" x14ac:dyDescent="0.3">
      <c r="A217" t="s">
        <v>457</v>
      </c>
    </row>
    <row r="218" spans="1:1" x14ac:dyDescent="0.3">
      <c r="A218" t="s">
        <v>466</v>
      </c>
    </row>
    <row r="219" spans="1:1" x14ac:dyDescent="0.3">
      <c r="A219" t="s">
        <v>487</v>
      </c>
    </row>
    <row r="220" spans="1:1" x14ac:dyDescent="0.3">
      <c r="A220" t="s">
        <v>502</v>
      </c>
    </row>
    <row r="221" spans="1:1" x14ac:dyDescent="0.3">
      <c r="A221" t="s">
        <v>537</v>
      </c>
    </row>
    <row r="222" spans="1:1" x14ac:dyDescent="0.3">
      <c r="A222" t="s">
        <v>27</v>
      </c>
    </row>
    <row r="223" spans="1:1" x14ac:dyDescent="0.3">
      <c r="A223" t="s">
        <v>77</v>
      </c>
    </row>
    <row r="224" spans="1:1" x14ac:dyDescent="0.3">
      <c r="A224" t="s">
        <v>132</v>
      </c>
    </row>
    <row r="225" spans="1:1" x14ac:dyDescent="0.3">
      <c r="A225" t="s">
        <v>149</v>
      </c>
    </row>
    <row r="226" spans="1:1" x14ac:dyDescent="0.3">
      <c r="A226" t="s">
        <v>335</v>
      </c>
    </row>
    <row r="227" spans="1:1" x14ac:dyDescent="0.3">
      <c r="A227" t="s">
        <v>346</v>
      </c>
    </row>
    <row r="228" spans="1:1" x14ac:dyDescent="0.3">
      <c r="A228" t="s">
        <v>372</v>
      </c>
    </row>
    <row r="229" spans="1:1" x14ac:dyDescent="0.3">
      <c r="A229" t="s">
        <v>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BBAD-D88F-4983-ABB9-440A26BB3CEE}">
  <sheetPr filterMode="1"/>
  <dimension ref="A1:AA268"/>
  <sheetViews>
    <sheetView topLeftCell="B1" zoomScale="85" zoomScaleNormal="85" workbookViewId="0">
      <selection activeCell="C45" sqref="C45"/>
    </sheetView>
  </sheetViews>
  <sheetFormatPr defaultRowHeight="14.4" x14ac:dyDescent="0.3"/>
  <cols>
    <col min="1" max="1" width="90" bestFit="1" customWidth="1"/>
    <col min="2" max="2" width="63.77734375" bestFit="1" customWidth="1"/>
    <col min="3" max="3" width="35.6640625" bestFit="1" customWidth="1"/>
    <col min="4" max="4" width="31.77734375" bestFit="1" customWidth="1"/>
    <col min="5" max="5" width="39.44140625" bestFit="1" customWidth="1"/>
    <col min="6" max="6" width="45" bestFit="1" customWidth="1"/>
    <col min="7" max="8" width="36.44140625" bestFit="1" customWidth="1"/>
    <col min="9" max="9" width="33.21875" bestFit="1" customWidth="1"/>
    <col min="10" max="10" width="46.21875" bestFit="1" customWidth="1"/>
    <col min="11" max="11" width="32.44140625" bestFit="1" customWidth="1"/>
    <col min="12" max="12" width="12.109375" bestFit="1" customWidth="1"/>
    <col min="14" max="14" width="15.5546875" bestFit="1" customWidth="1"/>
    <col min="15" max="15" width="22.33203125" bestFit="1" customWidth="1"/>
    <col min="18" max="18" width="22.6640625" bestFit="1" customWidth="1"/>
    <col min="19" max="19" width="20.6640625" bestFit="1" customWidth="1"/>
    <col min="20" max="20" width="17" bestFit="1" customWidth="1"/>
  </cols>
  <sheetData>
    <row r="1" spans="1:20" x14ac:dyDescent="0.3">
      <c r="N1" t="s">
        <v>570</v>
      </c>
      <c r="O1" t="s">
        <v>571</v>
      </c>
    </row>
    <row r="2" spans="1:20" x14ac:dyDescent="0.3">
      <c r="A2" s="30" t="s">
        <v>0</v>
      </c>
      <c r="B2" t="s">
        <v>1</v>
      </c>
      <c r="C2" t="s">
        <v>14</v>
      </c>
      <c r="D2" t="s">
        <v>45</v>
      </c>
      <c r="E2" t="s">
        <v>4</v>
      </c>
      <c r="F2" t="s">
        <v>5</v>
      </c>
      <c r="G2" t="s">
        <v>37</v>
      </c>
      <c r="H2" t="s">
        <v>7</v>
      </c>
      <c r="I2" t="s">
        <v>50</v>
      </c>
      <c r="N2" t="b" cm="1">
        <f t="array" ref="N2">SUMPRODUCT(--ISNUMBER(MATCH(TRIM(C2:L2),Extracted_Parameters!$B:$B,0)))=COUNTA(C2:K2)</f>
        <v>0</v>
      </c>
      <c r="O2" cm="1">
        <f t="array" ref="O2">COUNTA(C2:K2)-SUMPRODUCT(--ISNUMBER(MATCH(C2:K2,Extracted_Parameters!$B:$B,0)))</f>
        <v>1</v>
      </c>
    </row>
    <row r="3" spans="1:20" x14ac:dyDescent="0.3">
      <c r="A3" s="30"/>
      <c r="B3" t="s">
        <v>9</v>
      </c>
      <c r="C3" t="s">
        <v>14</v>
      </c>
      <c r="D3" t="s">
        <v>45</v>
      </c>
      <c r="E3" t="s">
        <v>4</v>
      </c>
      <c r="F3" t="s">
        <v>5</v>
      </c>
      <c r="G3" t="s">
        <v>37</v>
      </c>
      <c r="H3" t="s">
        <v>7</v>
      </c>
      <c r="N3" t="b" cm="1">
        <f t="array" ref="N3">SUMPRODUCT(--ISNUMBER(MATCH(TRIM(C3:L3),Extracted_Parameters!$B:$B,0)))=COUNTA(C3:K3)</f>
        <v>0</v>
      </c>
      <c r="O3" cm="1">
        <f t="array" ref="O3">COUNTA(C3:K3)-SUMPRODUCT(--ISNUMBER(MATCH(C3:K3,Extracted_Parameters!$B:$B,0)))</f>
        <v>1</v>
      </c>
    </row>
    <row r="4" spans="1:20" hidden="1" x14ac:dyDescent="0.3">
      <c r="A4" s="30" t="s">
        <v>10</v>
      </c>
      <c r="B4" s="1" t="s">
        <v>11</v>
      </c>
      <c r="C4" t="s">
        <v>12</v>
      </c>
      <c r="D4" t="s">
        <v>13</v>
      </c>
      <c r="E4" t="s">
        <v>562</v>
      </c>
      <c r="F4" t="s">
        <v>4</v>
      </c>
      <c r="G4" t="s">
        <v>14</v>
      </c>
      <c r="H4" t="s">
        <v>15</v>
      </c>
      <c r="N4" t="b" cm="1">
        <f t="array" ref="N4">SUMPRODUCT(--ISNUMBER(MATCH(TRIM(C4:L4),Extracted_Parameters!$B:$B,0)))=COUNTA(C4:K4)</f>
        <v>0</v>
      </c>
      <c r="O4" cm="1">
        <f t="array" ref="O4">COUNTA(C4:K4)-SUMPRODUCT(--ISNUMBER(MATCH(C4:K4,Extracted_Parameters!$B:$B,0)))</f>
        <v>4</v>
      </c>
    </row>
    <row r="5" spans="1:20" hidden="1" x14ac:dyDescent="0.3">
      <c r="A5" s="30"/>
      <c r="B5" s="1" t="s">
        <v>16</v>
      </c>
      <c r="C5" t="s">
        <v>17</v>
      </c>
      <c r="D5" t="s">
        <v>40</v>
      </c>
      <c r="E5" t="s">
        <v>13</v>
      </c>
      <c r="F5" t="s">
        <v>4</v>
      </c>
      <c r="G5" t="s">
        <v>19</v>
      </c>
      <c r="H5" t="s">
        <v>14</v>
      </c>
      <c r="I5" t="s">
        <v>15</v>
      </c>
      <c r="N5" t="b" cm="1">
        <f t="array" ref="N5">SUMPRODUCT(--ISNUMBER(MATCH(TRIM(C5:L5),Extracted_Parameters!$B:$B,0)))=COUNTA(C5:K5)</f>
        <v>0</v>
      </c>
      <c r="O5" cm="1">
        <f t="array" ref="O5">COUNTA(C5:K5)-SUMPRODUCT(--ISNUMBER(MATCH(C5:K5,Extracted_Parameters!$B:$B,0)))</f>
        <v>3</v>
      </c>
      <c r="R5" s="23" t="s">
        <v>586</v>
      </c>
      <c r="S5" s="23" t="s">
        <v>573</v>
      </c>
      <c r="T5" s="23" t="s">
        <v>574</v>
      </c>
    </row>
    <row r="6" spans="1:20" x14ac:dyDescent="0.3">
      <c r="A6" s="30"/>
      <c r="B6" s="1" t="s">
        <v>20</v>
      </c>
      <c r="C6" t="s">
        <v>50</v>
      </c>
      <c r="D6" t="s">
        <v>4</v>
      </c>
      <c r="E6" t="s">
        <v>14</v>
      </c>
      <c r="F6" t="s">
        <v>15</v>
      </c>
      <c r="N6" t="b" cm="1">
        <f t="array" ref="N6">SUMPRODUCT(--ISNUMBER(MATCH(TRIM(C6:L6),Extracted_Parameters!$B:$B,0)))=COUNTA(C6:K6)</f>
        <v>0</v>
      </c>
      <c r="O6" cm="1">
        <f t="array" ref="O6">COUNTA(C6:K6)-SUMPRODUCT(--ISNUMBER(MATCH(C6:K6,Extracted_Parameters!$B:$B,0)))</f>
        <v>1</v>
      </c>
      <c r="R6" s="24">
        <v>0</v>
      </c>
      <c r="S6" s="24">
        <f>COUNTIF($O$2:$O$260,R6)</f>
        <v>64</v>
      </c>
      <c r="T6" s="25">
        <f>(S6/COUNT($O$2:$O$260))*100</f>
        <v>27.004219409282697</v>
      </c>
    </row>
    <row r="7" spans="1:20" hidden="1" x14ac:dyDescent="0.3">
      <c r="A7" s="32" t="s">
        <v>22</v>
      </c>
      <c r="B7" t="s">
        <v>23</v>
      </c>
      <c r="C7" t="s">
        <v>12</v>
      </c>
      <c r="D7" t="s">
        <v>12</v>
      </c>
      <c r="E7" t="s">
        <v>24</v>
      </c>
      <c r="F7" t="s">
        <v>25</v>
      </c>
      <c r="G7" t="s">
        <v>4</v>
      </c>
      <c r="H7" t="s">
        <v>14</v>
      </c>
      <c r="I7" t="s">
        <v>15</v>
      </c>
      <c r="N7" t="b" cm="1">
        <f t="array" ref="N7">SUMPRODUCT(--ISNUMBER(MATCH(TRIM(C7:L7),Extracted_Parameters!$B:$B,0)))=COUNTA(C7:K7)</f>
        <v>0</v>
      </c>
      <c r="O7" cm="1">
        <f t="array" ref="O7">COUNTA(C7:K7)-SUMPRODUCT(--ISNUMBER(MATCH(C7:K7,Extracted_Parameters!$B:$B,0)))</f>
        <v>4</v>
      </c>
      <c r="R7" s="24">
        <v>1</v>
      </c>
      <c r="S7" s="24">
        <f t="shared" ref="S7:S12" si="0">COUNTIF($O$2:$O$260,R7)</f>
        <v>68</v>
      </c>
      <c r="T7" s="25">
        <f t="shared" ref="T7:T12" si="1">(S7/COUNT($O$2:$O$260))*100</f>
        <v>28.691983122362867</v>
      </c>
    </row>
    <row r="8" spans="1:20" hidden="1" x14ac:dyDescent="0.3">
      <c r="A8" s="32"/>
      <c r="B8" t="s">
        <v>26</v>
      </c>
      <c r="C8" t="s">
        <v>12</v>
      </c>
      <c r="D8" t="s">
        <v>24</v>
      </c>
      <c r="E8" t="s">
        <v>25</v>
      </c>
      <c r="F8" t="s">
        <v>4</v>
      </c>
      <c r="G8" t="s">
        <v>17</v>
      </c>
      <c r="H8" t="s">
        <v>14</v>
      </c>
      <c r="I8" t="s">
        <v>15</v>
      </c>
      <c r="J8" t="s">
        <v>27</v>
      </c>
      <c r="N8" t="b" cm="1">
        <f t="array" ref="N8">SUMPRODUCT(--ISNUMBER(MATCH(TRIM(C8:L8),Extracted_Parameters!$B:$B,0)))=COUNTA(C8:K8)</f>
        <v>0</v>
      </c>
      <c r="O8" cm="1">
        <f t="array" ref="O8">COUNTA(C8:K8)-SUMPRODUCT(--ISNUMBER(MATCH(C8:K8,Extracted_Parameters!$B:$B,0)))</f>
        <v>4</v>
      </c>
      <c r="R8" s="24">
        <v>2</v>
      </c>
      <c r="S8" s="24">
        <f t="shared" si="0"/>
        <v>52</v>
      </c>
      <c r="T8" s="25">
        <f t="shared" si="1"/>
        <v>21.940928270042196</v>
      </c>
    </row>
    <row r="9" spans="1:20" hidden="1" x14ac:dyDescent="0.3">
      <c r="A9" s="32"/>
      <c r="B9" t="s">
        <v>28</v>
      </c>
      <c r="C9" t="s">
        <v>29</v>
      </c>
      <c r="D9" t="s">
        <v>17</v>
      </c>
      <c r="E9" t="s">
        <v>13</v>
      </c>
      <c r="F9" t="s">
        <v>30</v>
      </c>
      <c r="G9" t="s">
        <v>31</v>
      </c>
      <c r="N9" t="b" cm="1">
        <f t="array" ref="N9">SUMPRODUCT(--ISNUMBER(MATCH(TRIM(C9:L9),Extracted_Parameters!$B:$B,0)))=COUNTA(C9:K9)</f>
        <v>0</v>
      </c>
      <c r="O9" cm="1">
        <f t="array" ref="O9">COUNTA(C9:K9)-SUMPRODUCT(--ISNUMBER(MATCH(C9:K9,Extracted_Parameters!$B:$B,0)))</f>
        <v>4</v>
      </c>
      <c r="R9" s="24">
        <v>3</v>
      </c>
      <c r="S9" s="24">
        <f t="shared" si="0"/>
        <v>36</v>
      </c>
      <c r="T9" s="25">
        <f t="shared" si="1"/>
        <v>15.18987341772152</v>
      </c>
    </row>
    <row r="10" spans="1:20" hidden="1" x14ac:dyDescent="0.3">
      <c r="A10" s="32"/>
      <c r="B10" t="s">
        <v>32</v>
      </c>
      <c r="C10" t="s">
        <v>29</v>
      </c>
      <c r="D10" t="s">
        <v>30</v>
      </c>
      <c r="E10" t="s">
        <v>31</v>
      </c>
      <c r="G10" t="s">
        <v>33</v>
      </c>
      <c r="N10" t="b" cm="1">
        <f t="array" ref="N10">SUMPRODUCT(--ISNUMBER(MATCH(TRIM(C10:L10),Extracted_Parameters!$B:$B,0)))=COUNTA(C10:K10)</f>
        <v>0</v>
      </c>
      <c r="O10" cm="1">
        <f t="array" ref="O10">COUNTA(C10:K10)-SUMPRODUCT(--ISNUMBER(MATCH(C10:K10,Extracted_Parameters!$B:$B,0)))</f>
        <v>4</v>
      </c>
      <c r="R10" s="24">
        <v>4</v>
      </c>
      <c r="S10" s="24">
        <f t="shared" si="0"/>
        <v>13</v>
      </c>
      <c r="T10" s="25">
        <f t="shared" si="1"/>
        <v>5.485232067510549</v>
      </c>
    </row>
    <row r="11" spans="1:20" hidden="1" x14ac:dyDescent="0.3">
      <c r="A11" s="32"/>
      <c r="B11" t="s">
        <v>563</v>
      </c>
      <c r="C11" t="s">
        <v>35</v>
      </c>
      <c r="D11" t="s">
        <v>8</v>
      </c>
      <c r="E11" t="s">
        <v>36</v>
      </c>
      <c r="F11" t="s">
        <v>14</v>
      </c>
      <c r="G11" t="s">
        <v>37</v>
      </c>
      <c r="H11" t="s">
        <v>15</v>
      </c>
      <c r="N11" t="b" cm="1">
        <f t="array" ref="N11">SUMPRODUCT(--ISNUMBER(MATCH(TRIM(C11:L11),Extracted_Parameters!$B:$B,0)))=COUNTA(C11:K11)</f>
        <v>0</v>
      </c>
      <c r="O11" cm="1">
        <f t="array" ref="O11">COUNTA(C11:K11)-SUMPRODUCT(--ISNUMBER(MATCH(C11:K11,Extracted_Parameters!$B:$B,0)))</f>
        <v>3</v>
      </c>
      <c r="R11" s="24">
        <v>5</v>
      </c>
      <c r="S11" s="24">
        <f t="shared" si="0"/>
        <v>4</v>
      </c>
      <c r="T11" s="25">
        <f t="shared" si="1"/>
        <v>1.6877637130801686</v>
      </c>
    </row>
    <row r="12" spans="1:20" x14ac:dyDescent="0.3">
      <c r="A12" s="32" t="s">
        <v>38</v>
      </c>
      <c r="B12" t="s">
        <v>39</v>
      </c>
      <c r="C12" t="s">
        <v>37</v>
      </c>
      <c r="D12" t="s">
        <v>40</v>
      </c>
      <c r="E12" t="s">
        <v>4</v>
      </c>
      <c r="F12" t="s">
        <v>50</v>
      </c>
      <c r="G12" t="s">
        <v>564</v>
      </c>
      <c r="N12" t="b" cm="1">
        <f t="array" ref="N12">SUMPRODUCT(--ISNUMBER(MATCH(TRIM(C12:L12),Extracted_Parameters!$B:$B,0)))=COUNTA(C12:K12)</f>
        <v>0</v>
      </c>
      <c r="O12" cm="1">
        <f t="array" ref="O12">COUNTA(C12:K12)-SUMPRODUCT(--ISNUMBER(MATCH(C12:K12,Extracted_Parameters!$B:$B,0)))</f>
        <v>1</v>
      </c>
      <c r="R12" s="24">
        <v>6</v>
      </c>
      <c r="S12" s="24">
        <f t="shared" si="0"/>
        <v>0</v>
      </c>
      <c r="T12" s="25">
        <f t="shared" si="1"/>
        <v>0</v>
      </c>
    </row>
    <row r="13" spans="1:20" hidden="1" x14ac:dyDescent="0.3">
      <c r="A13" s="32"/>
      <c r="B13" t="s">
        <v>42</v>
      </c>
      <c r="C13" t="s">
        <v>43</v>
      </c>
      <c r="D13" t="s">
        <v>40</v>
      </c>
      <c r="E13" t="s">
        <v>4</v>
      </c>
      <c r="F13" t="s">
        <v>14</v>
      </c>
      <c r="G13" t="s">
        <v>37</v>
      </c>
      <c r="H13" t="s">
        <v>44</v>
      </c>
      <c r="I13" t="s">
        <v>45</v>
      </c>
      <c r="N13" t="b" cm="1">
        <f t="array" ref="N13">SUMPRODUCT(--ISNUMBER(MATCH(TRIM(C13:L13),Extracted_Parameters!$B:$B,0)))=COUNTA(C13:K13)</f>
        <v>0</v>
      </c>
      <c r="O13" cm="1">
        <f t="array" ref="O13">COUNTA(C13:K13)-SUMPRODUCT(--ISNUMBER(MATCH(C13:K13,Extracted_Parameters!$B:$B,0)))</f>
        <v>2</v>
      </c>
    </row>
    <row r="14" spans="1:20" hidden="1" x14ac:dyDescent="0.3">
      <c r="A14" s="32" t="s">
        <v>46</v>
      </c>
      <c r="B14" t="s">
        <v>47</v>
      </c>
      <c r="C14" t="s">
        <v>29</v>
      </c>
      <c r="D14" t="s">
        <v>44</v>
      </c>
      <c r="E14" t="s">
        <v>37</v>
      </c>
      <c r="F14" t="s">
        <v>4</v>
      </c>
      <c r="G14" t="s">
        <v>40</v>
      </c>
      <c r="H14" t="s">
        <v>14</v>
      </c>
      <c r="I14" t="s">
        <v>48</v>
      </c>
      <c r="N14" t="b" cm="1">
        <f t="array" ref="N14">SUMPRODUCT(--ISNUMBER(MATCH(TRIM(C14:L14),Extracted_Parameters!$B:$B,0)))=COUNTA(C14:K14)</f>
        <v>0</v>
      </c>
      <c r="O14" cm="1">
        <f t="array" ref="O14">COUNTA(C14:K14)-SUMPRODUCT(--ISNUMBER(MATCH(C14:K14,Extracted_Parameters!$B:$B,0)))</f>
        <v>3</v>
      </c>
    </row>
    <row r="15" spans="1:20" hidden="1" x14ac:dyDescent="0.3">
      <c r="A15" s="32"/>
      <c r="B15" t="s">
        <v>49</v>
      </c>
      <c r="C15" t="s">
        <v>37</v>
      </c>
      <c r="D15" t="s">
        <v>40</v>
      </c>
      <c r="E15" t="s">
        <v>4</v>
      </c>
      <c r="F15" t="s">
        <v>14</v>
      </c>
      <c r="G15" t="s">
        <v>50</v>
      </c>
      <c r="N15" t="b" cm="1">
        <f t="array" ref="N15">SUMPRODUCT(--ISNUMBER(MATCH(TRIM(C15:L15),Extracted_Parameters!$B:$B,0)))=COUNTA(C15:K15)</f>
        <v>1</v>
      </c>
      <c r="O15" cm="1">
        <f t="array" ref="O15">COUNTA(C15:K15)-SUMPRODUCT(--ISNUMBER(MATCH(C15:K15,Extracted_Parameters!$B:$B,0)))</f>
        <v>0</v>
      </c>
    </row>
    <row r="16" spans="1:20" hidden="1" x14ac:dyDescent="0.3">
      <c r="A16" s="32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40</v>
      </c>
      <c r="G16" t="s">
        <v>15</v>
      </c>
      <c r="N16" t="b" cm="1">
        <f t="array" ref="N16">SUMPRODUCT(--ISNUMBER(MATCH(TRIM(C16:L16),Extracted_Parameters!$B:$B,0)))=COUNTA(C16:K16)</f>
        <v>0</v>
      </c>
      <c r="O16" cm="1">
        <f t="array" ref="O16">COUNTA(C16:K16)-SUMPRODUCT(--ISNUMBER(MATCH(C16:K16,Extracted_Parameters!$B:$B,0)))</f>
        <v>4</v>
      </c>
    </row>
    <row r="17" spans="1:15" ht="14.4" customHeight="1" x14ac:dyDescent="0.3">
      <c r="A17" s="32"/>
      <c r="B17" t="s">
        <v>56</v>
      </c>
      <c r="C17" s="5" t="s">
        <v>57</v>
      </c>
      <c r="D17" s="5"/>
      <c r="E17" s="5"/>
      <c r="F17" s="5"/>
      <c r="G17" s="5"/>
      <c r="H17" s="5"/>
      <c r="N17" t="b" cm="1">
        <f t="array" ref="N17">SUMPRODUCT(--ISNUMBER(MATCH(TRIM(C17:L17),Extracted_Parameters!$B:$B,0)))=COUNTA(C17:K17)</f>
        <v>0</v>
      </c>
      <c r="O17" cm="1">
        <f t="array" ref="O17">COUNTA(C17:K17)-SUMPRODUCT(--ISNUMBER(MATCH(C17:K17,Extracted_Parameters!$B:$B,0)))</f>
        <v>1</v>
      </c>
    </row>
    <row r="18" spans="1:15" x14ac:dyDescent="0.3">
      <c r="A18" s="32" t="s">
        <v>58</v>
      </c>
      <c r="B18" t="s">
        <v>59</v>
      </c>
      <c r="C18" t="s">
        <v>37</v>
      </c>
      <c r="D18" t="s">
        <v>14</v>
      </c>
      <c r="E18" t="s">
        <v>4</v>
      </c>
      <c r="F18" t="s">
        <v>45</v>
      </c>
      <c r="G18" t="s">
        <v>60</v>
      </c>
      <c r="N18" t="b" cm="1">
        <f t="array" ref="N18">SUMPRODUCT(--ISNUMBER(MATCH(TRIM(C18:L18),Extracted_Parameters!$B:$B,0)))=COUNTA(C18:K18)</f>
        <v>0</v>
      </c>
      <c r="O18" cm="1">
        <f t="array" ref="O18">COUNTA(C18:K18)-SUMPRODUCT(--ISNUMBER(MATCH(C18:K18,Extracted_Parameters!$B:$B,0)))</f>
        <v>1</v>
      </c>
    </row>
    <row r="19" spans="1:15" x14ac:dyDescent="0.3">
      <c r="A19" s="32"/>
      <c r="B19" t="s">
        <v>61</v>
      </c>
      <c r="C19" t="s">
        <v>60</v>
      </c>
      <c r="D19" t="s">
        <v>37</v>
      </c>
      <c r="E19" t="s">
        <v>4</v>
      </c>
      <c r="F19" t="s">
        <v>14</v>
      </c>
      <c r="N19" t="b" cm="1">
        <f t="array" ref="N19">SUMPRODUCT(--ISNUMBER(MATCH(TRIM(C19:L19),Extracted_Parameters!$B:$B,0)))=COUNTA(C19:K19)</f>
        <v>0</v>
      </c>
      <c r="O19" cm="1">
        <f t="array" ref="O19">COUNTA(C19:K19)-SUMPRODUCT(--ISNUMBER(MATCH(C19:K19,Extracted_Parameters!$B:$B,0)))</f>
        <v>1</v>
      </c>
    </row>
    <row r="20" spans="1:15" hidden="1" x14ac:dyDescent="0.3">
      <c r="A20" s="32"/>
      <c r="B20" t="s">
        <v>62</v>
      </c>
      <c r="C20" t="s">
        <v>60</v>
      </c>
      <c r="D20" t="s">
        <v>4</v>
      </c>
      <c r="E20" t="s">
        <v>14</v>
      </c>
      <c r="F20" t="s">
        <v>45</v>
      </c>
      <c r="G20" t="s">
        <v>63</v>
      </c>
      <c r="H20" t="s">
        <v>64</v>
      </c>
      <c r="N20" t="b" cm="1">
        <f t="array" ref="N20">SUMPRODUCT(--ISNUMBER(MATCH(TRIM(C20:L20),Extracted_Parameters!$B:$B,0)))=COUNTA(C20:K20)</f>
        <v>0</v>
      </c>
      <c r="O20" cm="1">
        <f t="array" ref="O20">COUNTA(C20:K20)-SUMPRODUCT(--ISNUMBER(MATCH(C20:K20,Extracted_Parameters!$B:$B,0)))</f>
        <v>3</v>
      </c>
    </row>
    <row r="21" spans="1:15" hidden="1" x14ac:dyDescent="0.3">
      <c r="A21" s="32"/>
      <c r="B21" t="s">
        <v>65</v>
      </c>
      <c r="C21" t="s">
        <v>63</v>
      </c>
      <c r="D21" t="s">
        <v>66</v>
      </c>
      <c r="E21" t="s">
        <v>67</v>
      </c>
      <c r="F21" t="s">
        <v>4</v>
      </c>
      <c r="G21" t="s">
        <v>14</v>
      </c>
      <c r="H21" t="s">
        <v>45</v>
      </c>
      <c r="N21" t="b" cm="1">
        <f t="array" ref="N21">SUMPRODUCT(--ISNUMBER(MATCH(TRIM(C21:L21),Extracted_Parameters!$B:$B,0)))=COUNTA(C21:K21)</f>
        <v>0</v>
      </c>
      <c r="O21" cm="1">
        <f t="array" ref="O21">COUNTA(C21:K21)-SUMPRODUCT(--ISNUMBER(MATCH(C21:K21,Extracted_Parameters!$B:$B,0)))</f>
        <v>3</v>
      </c>
    </row>
    <row r="22" spans="1:15" hidden="1" x14ac:dyDescent="0.3">
      <c r="A22" s="32"/>
      <c r="B22" t="s">
        <v>68</v>
      </c>
      <c r="C22" t="s">
        <v>63</v>
      </c>
      <c r="D22" t="s">
        <v>66</v>
      </c>
      <c r="E22" t="s">
        <v>67</v>
      </c>
      <c r="F22" t="s">
        <v>4</v>
      </c>
      <c r="G22" t="s">
        <v>14</v>
      </c>
      <c r="H22" t="s">
        <v>45</v>
      </c>
      <c r="N22" t="b" cm="1">
        <f t="array" ref="N22">SUMPRODUCT(--ISNUMBER(MATCH(TRIM(C22:L22),Extracted_Parameters!$B:$B,0)))=COUNTA(C22:K22)</f>
        <v>0</v>
      </c>
      <c r="O22" cm="1">
        <f t="array" ref="O22">COUNTA(C22:K22)-SUMPRODUCT(--ISNUMBER(MATCH(C22:K22,Extracted_Parameters!$B:$B,0)))</f>
        <v>3</v>
      </c>
    </row>
    <row r="23" spans="1:15" hidden="1" x14ac:dyDescent="0.3">
      <c r="A23" s="32"/>
      <c r="B23" t="s">
        <v>69</v>
      </c>
      <c r="C23" t="s">
        <v>63</v>
      </c>
      <c r="D23" t="s">
        <v>66</v>
      </c>
      <c r="E23" t="s">
        <v>67</v>
      </c>
      <c r="F23" t="s">
        <v>4</v>
      </c>
      <c r="G23" t="s">
        <v>14</v>
      </c>
      <c r="H23" t="s">
        <v>45</v>
      </c>
      <c r="N23" t="b" cm="1">
        <f t="array" ref="N23">SUMPRODUCT(--ISNUMBER(MATCH(TRIM(C23:L23),Extracted_Parameters!$B:$B,0)))=COUNTA(C23:K23)</f>
        <v>0</v>
      </c>
      <c r="O23" cm="1">
        <f t="array" ref="O23">COUNTA(C23:K23)-SUMPRODUCT(--ISNUMBER(MATCH(C23:K23,Extracted_Parameters!$B:$B,0)))</f>
        <v>3</v>
      </c>
    </row>
    <row r="24" spans="1:15" hidden="1" x14ac:dyDescent="0.3">
      <c r="A24" s="32"/>
      <c r="B24" t="s">
        <v>70</v>
      </c>
      <c r="C24" t="s">
        <v>63</v>
      </c>
      <c r="D24" t="s">
        <v>66</v>
      </c>
      <c r="E24" t="s">
        <v>67</v>
      </c>
      <c r="F24" t="s">
        <v>4</v>
      </c>
      <c r="G24" t="s">
        <v>14</v>
      </c>
      <c r="H24" t="s">
        <v>45</v>
      </c>
      <c r="N24" t="b" cm="1">
        <f t="array" ref="N24">SUMPRODUCT(--ISNUMBER(MATCH(TRIM(C24:L24),Extracted_Parameters!$B:$B,0)))=COUNTA(C24:K24)</f>
        <v>0</v>
      </c>
      <c r="O24" cm="1">
        <f t="array" ref="O24">COUNTA(C24:K24)-SUMPRODUCT(--ISNUMBER(MATCH(C24:K24,Extracted_Parameters!$B:$B,0)))</f>
        <v>3</v>
      </c>
    </row>
    <row r="25" spans="1:15" hidden="1" x14ac:dyDescent="0.3">
      <c r="A25" s="32"/>
      <c r="B25" t="s">
        <v>71</v>
      </c>
      <c r="C25" t="s">
        <v>63</v>
      </c>
      <c r="D25" t="s">
        <v>66</v>
      </c>
      <c r="E25" t="s">
        <v>67</v>
      </c>
      <c r="F25" t="s">
        <v>4</v>
      </c>
      <c r="G25" t="s">
        <v>14</v>
      </c>
      <c r="H25" t="s">
        <v>45</v>
      </c>
      <c r="N25" t="b" cm="1">
        <f t="array" ref="N25">SUMPRODUCT(--ISNUMBER(MATCH(TRIM(C25:L25),Extracted_Parameters!$B:$B,0)))=COUNTA(C25:K25)</f>
        <v>0</v>
      </c>
      <c r="O25" cm="1">
        <f t="array" ref="O25">COUNTA(C25:K25)-SUMPRODUCT(--ISNUMBER(MATCH(C25:K25,Extracted_Parameters!$B:$B,0)))</f>
        <v>3</v>
      </c>
    </row>
    <row r="26" spans="1:15" hidden="1" x14ac:dyDescent="0.3">
      <c r="A26" s="32"/>
      <c r="B26" t="s">
        <v>72</v>
      </c>
      <c r="C26" t="s">
        <v>63</v>
      </c>
      <c r="D26" t="s">
        <v>66</v>
      </c>
      <c r="E26" t="s">
        <v>67</v>
      </c>
      <c r="F26" t="s">
        <v>4</v>
      </c>
      <c r="G26" t="s">
        <v>14</v>
      </c>
      <c r="H26" t="s">
        <v>45</v>
      </c>
      <c r="N26" t="b" cm="1">
        <f t="array" ref="N26">SUMPRODUCT(--ISNUMBER(MATCH(TRIM(C26:L26),Extracted_Parameters!$B:$B,0)))=COUNTA(C26:K26)</f>
        <v>0</v>
      </c>
      <c r="O26" cm="1">
        <f t="array" ref="O26">COUNTA(C26:K26)-SUMPRODUCT(--ISNUMBER(MATCH(C26:K26,Extracted_Parameters!$B:$B,0)))</f>
        <v>3</v>
      </c>
    </row>
    <row r="27" spans="1:15" hidden="1" x14ac:dyDescent="0.3">
      <c r="A27" s="32"/>
      <c r="B27" t="s">
        <v>73</v>
      </c>
      <c r="C27" t="s">
        <v>63</v>
      </c>
      <c r="D27" t="s">
        <v>66</v>
      </c>
      <c r="E27" t="s">
        <v>67</v>
      </c>
      <c r="F27" t="s">
        <v>4</v>
      </c>
      <c r="G27" t="s">
        <v>14</v>
      </c>
      <c r="H27" t="s">
        <v>45</v>
      </c>
      <c r="N27" t="b" cm="1">
        <f t="array" ref="N27">SUMPRODUCT(--ISNUMBER(MATCH(TRIM(C27:L27),Extracted_Parameters!$B:$B,0)))=COUNTA(C27:K27)</f>
        <v>0</v>
      </c>
      <c r="O27" cm="1">
        <f t="array" ref="O27">COUNTA(C27:K27)-SUMPRODUCT(--ISNUMBER(MATCH(C27:K27,Extracted_Parameters!$B:$B,0)))</f>
        <v>3</v>
      </c>
    </row>
    <row r="28" spans="1:15" hidden="1" x14ac:dyDescent="0.3">
      <c r="A28" s="32"/>
      <c r="B28" t="s">
        <v>74</v>
      </c>
      <c r="C28" t="s">
        <v>40</v>
      </c>
      <c r="D28" t="s">
        <v>37</v>
      </c>
      <c r="E28" t="s">
        <v>4</v>
      </c>
      <c r="F28" t="s">
        <v>14</v>
      </c>
      <c r="G28" t="s">
        <v>50</v>
      </c>
      <c r="N28" t="b" cm="1">
        <f t="array" ref="N28">SUMPRODUCT(--ISNUMBER(MATCH(TRIM(C28:L28),Extracted_Parameters!$B:$B,0)))=COUNTA(C28:K28)</f>
        <v>1</v>
      </c>
      <c r="O28" cm="1">
        <f t="array" ref="O28">COUNTA(C28:K28)-SUMPRODUCT(--ISNUMBER(MATCH(C28:K28,Extracted_Parameters!$B:$B,0)))</f>
        <v>0</v>
      </c>
    </row>
    <row r="29" spans="1:15" hidden="1" x14ac:dyDescent="0.3">
      <c r="A29" s="32"/>
      <c r="B29" t="s">
        <v>75</v>
      </c>
      <c r="C29" t="s">
        <v>63</v>
      </c>
      <c r="D29" t="s">
        <v>40</v>
      </c>
      <c r="E29" t="s">
        <v>66</v>
      </c>
      <c r="F29" t="s">
        <v>76</v>
      </c>
      <c r="G29" t="s">
        <v>50</v>
      </c>
      <c r="H29" t="s">
        <v>4</v>
      </c>
      <c r="I29" t="s">
        <v>14</v>
      </c>
      <c r="J29" t="s">
        <v>77</v>
      </c>
      <c r="N29" t="b" cm="1">
        <f t="array" ref="N29">SUMPRODUCT(--ISNUMBER(MATCH(TRIM(C29:L29),Extracted_Parameters!$B:$B,0)))=COUNTA(C29:K29)</f>
        <v>0</v>
      </c>
      <c r="O29" cm="1">
        <f t="array" ref="O29">COUNTA(C29:K29)-SUMPRODUCT(--ISNUMBER(MATCH(C29:K29,Extracted_Parameters!$B:$B,0)))</f>
        <v>4</v>
      </c>
    </row>
    <row r="30" spans="1:15" hidden="1" x14ac:dyDescent="0.3">
      <c r="A30" s="33" t="s">
        <v>78</v>
      </c>
      <c r="B30" t="s">
        <v>79</v>
      </c>
      <c r="C30" t="s">
        <v>53</v>
      </c>
      <c r="D30" t="s">
        <v>40</v>
      </c>
      <c r="E30" t="s">
        <v>37</v>
      </c>
      <c r="F30" t="s">
        <v>14</v>
      </c>
      <c r="G30" t="s">
        <v>50</v>
      </c>
      <c r="H30" t="s">
        <v>80</v>
      </c>
      <c r="N30" t="b" cm="1">
        <f t="array" ref="N30">SUMPRODUCT(--ISNUMBER(MATCH(TRIM(C30:L30),Extracted_Parameters!$B:$B,0)))=COUNTA(C30:K30)</f>
        <v>0</v>
      </c>
      <c r="O30" cm="1">
        <f t="array" ref="O30">COUNTA(C30:K30)-SUMPRODUCT(--ISNUMBER(MATCH(C30:K30,Extracted_Parameters!$B:$B,0)))</f>
        <v>2</v>
      </c>
    </row>
    <row r="31" spans="1:15" x14ac:dyDescent="0.3">
      <c r="A31" s="33"/>
      <c r="B31" t="s">
        <v>81</v>
      </c>
      <c r="C31" t="s">
        <v>37</v>
      </c>
      <c r="D31" t="s">
        <v>82</v>
      </c>
      <c r="E31" t="s">
        <v>14</v>
      </c>
      <c r="F31" t="s">
        <v>50</v>
      </c>
      <c r="G31" t="s">
        <v>83</v>
      </c>
      <c r="N31" t="b" cm="1">
        <f t="array" ref="N31">SUMPRODUCT(--ISNUMBER(MATCH(TRIM(C31:L31),Extracted_Parameters!$B:$B,0)))=COUNTA(C31:K31)</f>
        <v>0</v>
      </c>
      <c r="O31" cm="1">
        <f t="array" ref="O31">COUNTA(C31:K31)-SUMPRODUCT(--ISNUMBER(MATCH(C31:K31,Extracted_Parameters!$B:$B,0)))</f>
        <v>1</v>
      </c>
    </row>
    <row r="32" spans="1:15" hidden="1" x14ac:dyDescent="0.3">
      <c r="A32" s="18" t="s">
        <v>84</v>
      </c>
      <c r="B32" t="s">
        <v>85</v>
      </c>
      <c r="C32" t="s">
        <v>37</v>
      </c>
      <c r="D32" t="s">
        <v>50</v>
      </c>
      <c r="E32" t="s">
        <v>14</v>
      </c>
      <c r="N32" t="b" cm="1">
        <f t="array" ref="N32">SUMPRODUCT(--ISNUMBER(MATCH(TRIM(C32:L32),Extracted_Parameters!$B:$B,0)))=COUNTA(C32:K32)</f>
        <v>1</v>
      </c>
      <c r="O32" cm="1">
        <f t="array" ref="O32">COUNTA(C32:K32)-SUMPRODUCT(--ISNUMBER(MATCH(C32:K32,Extracted_Parameters!$B:$B,0)))</f>
        <v>0</v>
      </c>
    </row>
    <row r="33" spans="1:15" hidden="1" x14ac:dyDescent="0.3">
      <c r="A33" s="32" t="s">
        <v>86</v>
      </c>
      <c r="B33" t="s">
        <v>87</v>
      </c>
      <c r="C33" t="s">
        <v>88</v>
      </c>
      <c r="D33" t="s">
        <v>50</v>
      </c>
      <c r="E33" t="s">
        <v>4</v>
      </c>
      <c r="F33" t="s">
        <v>14</v>
      </c>
      <c r="G33" t="s">
        <v>40</v>
      </c>
      <c r="H33" t="s">
        <v>89</v>
      </c>
      <c r="N33" t="b" cm="1">
        <f t="array" ref="N33">SUMPRODUCT(--ISNUMBER(MATCH(TRIM(C33:L33),Extracted_Parameters!$B:$B,0)))=COUNTA(C33:K33)</f>
        <v>0</v>
      </c>
      <c r="O33" cm="1">
        <f t="array" ref="O33">COUNTA(C33:K33)-SUMPRODUCT(--ISNUMBER(MATCH(C33:K33,Extracted_Parameters!$B:$B,0)))</f>
        <v>2</v>
      </c>
    </row>
    <row r="34" spans="1:15" hidden="1" x14ac:dyDescent="0.3">
      <c r="A34" s="32"/>
      <c r="B34" t="s">
        <v>90</v>
      </c>
      <c r="C34" t="s">
        <v>91</v>
      </c>
      <c r="D34" t="s">
        <v>40</v>
      </c>
      <c r="E34" t="s">
        <v>4</v>
      </c>
      <c r="F34" t="s">
        <v>14</v>
      </c>
      <c r="G34" t="s">
        <v>50</v>
      </c>
      <c r="H34" s="3" t="s">
        <v>92</v>
      </c>
      <c r="N34" t="b" cm="1">
        <f t="array" ref="N34">SUMPRODUCT(--ISNUMBER(MATCH(TRIM(C34:L34),Extracted_Parameters!$B:$B,0)))=COUNTA(C34:K34)</f>
        <v>0</v>
      </c>
      <c r="O34" cm="1">
        <f t="array" ref="O34">COUNTA(C34:K34)-SUMPRODUCT(--ISNUMBER(MATCH(C34:K34,Extracted_Parameters!$B:$B,0)))</f>
        <v>2</v>
      </c>
    </row>
    <row r="35" spans="1:15" x14ac:dyDescent="0.3">
      <c r="A35" s="32"/>
      <c r="B35" t="s">
        <v>93</v>
      </c>
      <c r="C35" t="s">
        <v>50</v>
      </c>
      <c r="D35" t="s">
        <v>14</v>
      </c>
      <c r="E35" t="s">
        <v>94</v>
      </c>
      <c r="N35" t="b" cm="1">
        <f t="array" ref="N35">SUMPRODUCT(--ISNUMBER(MATCH(TRIM(C35:L35),Extracted_Parameters!$B:$B,0)))=COUNTA(C35:K35)</f>
        <v>0</v>
      </c>
      <c r="O35" cm="1">
        <f t="array" ref="O35">COUNTA(C35:K35)-SUMPRODUCT(--ISNUMBER(MATCH(C35:K35,Extracted_Parameters!$B:$B,0)))</f>
        <v>1</v>
      </c>
    </row>
    <row r="36" spans="1:15" hidden="1" x14ac:dyDescent="0.3">
      <c r="A36" s="33" t="s">
        <v>95</v>
      </c>
      <c r="B36" t="s">
        <v>96</v>
      </c>
      <c r="C36" t="s">
        <v>88</v>
      </c>
      <c r="D36" t="s">
        <v>50</v>
      </c>
      <c r="E36" t="s">
        <v>40</v>
      </c>
      <c r="F36" t="s">
        <v>4</v>
      </c>
      <c r="G36" t="s">
        <v>14</v>
      </c>
      <c r="H36" t="s">
        <v>89</v>
      </c>
      <c r="I36" t="s">
        <v>15</v>
      </c>
      <c r="N36" t="b" cm="1">
        <f t="array" ref="N36">SUMPRODUCT(--ISNUMBER(MATCH(TRIM(C36:L36),Extracted_Parameters!$B:$B,0)))=COUNTA(C36:K36)</f>
        <v>0</v>
      </c>
      <c r="O36" cm="1">
        <f t="array" ref="O36">COUNTA(C36:K36)-SUMPRODUCT(--ISNUMBER(MATCH(C36:K36,Extracted_Parameters!$B:$B,0)))</f>
        <v>3</v>
      </c>
    </row>
    <row r="37" spans="1:15" hidden="1" x14ac:dyDescent="0.3">
      <c r="A37" s="33"/>
      <c r="B37" t="s">
        <v>97</v>
      </c>
      <c r="C37" t="s">
        <v>98</v>
      </c>
      <c r="D37" t="s">
        <v>99</v>
      </c>
      <c r="E37" t="s">
        <v>50</v>
      </c>
      <c r="F37" t="s">
        <v>100</v>
      </c>
      <c r="G37" t="s">
        <v>101</v>
      </c>
      <c r="H37" t="s">
        <v>102</v>
      </c>
      <c r="I37" t="s">
        <v>24</v>
      </c>
      <c r="J37" t="s">
        <v>4</v>
      </c>
      <c r="K37" t="s">
        <v>14</v>
      </c>
      <c r="L37" t="s">
        <v>40</v>
      </c>
      <c r="N37" t="b" cm="1">
        <f t="array" ref="N37">SUMPRODUCT(--ISNUMBER(MATCH(TRIM(C37:L37),Extracted_Parameters!$B:$B,0)))=COUNTA(C37:K37)</f>
        <v>0</v>
      </c>
      <c r="O37" cm="1">
        <f t="array" ref="O37">COUNTA(C37:K37)-SUMPRODUCT(--ISNUMBER(MATCH(C37:K37,Extracted_Parameters!$B:$B,0)))</f>
        <v>5</v>
      </c>
    </row>
    <row r="38" spans="1:15" x14ac:dyDescent="0.3">
      <c r="A38" s="33"/>
      <c r="B38" t="s">
        <v>103</v>
      </c>
      <c r="C38" t="s">
        <v>50</v>
      </c>
      <c r="D38" t="s">
        <v>40</v>
      </c>
      <c r="E38" t="s">
        <v>4</v>
      </c>
      <c r="F38" t="s">
        <v>14</v>
      </c>
      <c r="G38" t="s">
        <v>104</v>
      </c>
      <c r="N38" t="b" cm="1">
        <f t="array" ref="N38">SUMPRODUCT(--ISNUMBER(MATCH(TRIM(C38:L38),Extracted_Parameters!$B:$B,0)))=COUNTA(C38:K38)</f>
        <v>0</v>
      </c>
      <c r="O38" cm="1">
        <f t="array" ref="O38">COUNTA(C38:K38)-SUMPRODUCT(--ISNUMBER(MATCH(C38:K38,Extracted_Parameters!$B:$B,0)))</f>
        <v>1</v>
      </c>
    </row>
    <row r="39" spans="1:15" hidden="1" x14ac:dyDescent="0.3">
      <c r="A39" s="33"/>
      <c r="B39" t="s">
        <v>105</v>
      </c>
      <c r="C39" t="s">
        <v>50</v>
      </c>
      <c r="D39" t="s">
        <v>40</v>
      </c>
      <c r="E39" t="s">
        <v>4</v>
      </c>
      <c r="F39" t="s">
        <v>37</v>
      </c>
      <c r="N39" t="b" cm="1">
        <f t="array" ref="N39">SUMPRODUCT(--ISNUMBER(MATCH(TRIM(C39:L39),Extracted_Parameters!$B:$B,0)))=COUNTA(C39:K39)</f>
        <v>1</v>
      </c>
      <c r="O39" cm="1">
        <f t="array" ref="O39">COUNTA(C39:K39)-SUMPRODUCT(--ISNUMBER(MATCH(C39:K39,Extracted_Parameters!$B:$B,0)))</f>
        <v>0</v>
      </c>
    </row>
    <row r="40" spans="1:15" hidden="1" x14ac:dyDescent="0.3">
      <c r="A40" s="33" t="s">
        <v>106</v>
      </c>
      <c r="B40" t="s">
        <v>107</v>
      </c>
      <c r="C40" t="s">
        <v>50</v>
      </c>
      <c r="D40" t="s">
        <v>14</v>
      </c>
      <c r="E40" t="s">
        <v>108</v>
      </c>
      <c r="F40" t="s">
        <v>109</v>
      </c>
      <c r="G40" t="s">
        <v>4</v>
      </c>
      <c r="N40" t="b" cm="1">
        <f t="array" ref="N40">SUMPRODUCT(--ISNUMBER(MATCH(TRIM(C40:L40),Extracted_Parameters!$B:$B,0)))=COUNTA(C40:K40)</f>
        <v>0</v>
      </c>
      <c r="O40" cm="1">
        <f t="array" ref="O40">COUNTA(C40:K40)-SUMPRODUCT(--ISNUMBER(MATCH(C40:K40,Extracted_Parameters!$B:$B,0)))</f>
        <v>2</v>
      </c>
    </row>
    <row r="41" spans="1:15" hidden="1" x14ac:dyDescent="0.3">
      <c r="A41" s="33"/>
      <c r="B41" t="s">
        <v>110</v>
      </c>
      <c r="C41" t="s">
        <v>111</v>
      </c>
      <c r="D41" t="s">
        <v>112</v>
      </c>
      <c r="N41" t="b" cm="1">
        <f t="array" ref="N41">SUMPRODUCT(--ISNUMBER(MATCH(TRIM(C41:L41),Extracted_Parameters!$B:$B,0)))=COUNTA(C41:K41)</f>
        <v>1</v>
      </c>
      <c r="O41" cm="1">
        <f t="array" ref="O41">COUNTA(C41:K41)-SUMPRODUCT(--ISNUMBER(MATCH(C41:K41,Extracted_Parameters!$B:$B,0)))</f>
        <v>0</v>
      </c>
    </row>
    <row r="42" spans="1:15" x14ac:dyDescent="0.3">
      <c r="A42" s="33"/>
      <c r="B42" t="s">
        <v>113</v>
      </c>
      <c r="C42" t="s">
        <v>50</v>
      </c>
      <c r="D42" t="s">
        <v>37</v>
      </c>
      <c r="E42" t="s">
        <v>4</v>
      </c>
      <c r="F42" t="s">
        <v>114</v>
      </c>
      <c r="G42" t="s">
        <v>14</v>
      </c>
      <c r="N42" t="b" cm="1">
        <f t="array" ref="N42">SUMPRODUCT(--ISNUMBER(MATCH(TRIM(C42:L42),Extracted_Parameters!$B:$B,0)))=COUNTA(C42:K42)</f>
        <v>0</v>
      </c>
      <c r="O42" cm="1">
        <f t="array" ref="O42">COUNTA(C42:K42)-SUMPRODUCT(--ISNUMBER(MATCH(C42:K42,Extracted_Parameters!$B:$B,0)))</f>
        <v>1</v>
      </c>
    </row>
    <row r="43" spans="1:15" hidden="1" x14ac:dyDescent="0.3">
      <c r="A43" s="29" t="s">
        <v>115</v>
      </c>
      <c r="B43" t="s">
        <v>116</v>
      </c>
      <c r="C43" t="s">
        <v>50</v>
      </c>
      <c r="D43" t="s">
        <v>117</v>
      </c>
      <c r="E43" t="s">
        <v>118</v>
      </c>
      <c r="F43" t="s">
        <v>4</v>
      </c>
      <c r="G43" t="s">
        <v>14</v>
      </c>
      <c r="H43" t="s">
        <v>119</v>
      </c>
      <c r="N43" t="b" cm="1">
        <f t="array" ref="N43">SUMPRODUCT(--ISNUMBER(MATCH(TRIM(C43:L43),Extracted_Parameters!$B:$B,0)))=COUNTA(C43:K43)</f>
        <v>0</v>
      </c>
      <c r="O43" cm="1">
        <f t="array" ref="O43">COUNTA(C43:K43)-SUMPRODUCT(--ISNUMBER(MATCH(C43:K43,Extracted_Parameters!$B:$B,0)))</f>
        <v>3</v>
      </c>
    </row>
    <row r="44" spans="1:15" hidden="1" x14ac:dyDescent="0.3">
      <c r="A44" s="29"/>
      <c r="B44" t="s">
        <v>120</v>
      </c>
      <c r="C44" t="s">
        <v>37</v>
      </c>
      <c r="D44" t="s">
        <v>45</v>
      </c>
      <c r="E44" t="s">
        <v>4</v>
      </c>
      <c r="F44" t="s">
        <v>14</v>
      </c>
      <c r="G44" t="s">
        <v>121</v>
      </c>
      <c r="H44" t="s">
        <v>122</v>
      </c>
      <c r="N44" t="b" cm="1">
        <f t="array" ref="N44">SUMPRODUCT(--ISNUMBER(MATCH(TRIM(C44:L44),Extracted_Parameters!$B:$B,0)))=COUNTA(C44:K44)</f>
        <v>0</v>
      </c>
      <c r="O44" cm="1">
        <f t="array" ref="O44">COUNTA(C44:K44)-SUMPRODUCT(--ISNUMBER(MATCH(C44:K44,Extracted_Parameters!$B:$B,0)))</f>
        <v>2</v>
      </c>
    </row>
    <row r="45" spans="1:15" x14ac:dyDescent="0.3">
      <c r="A45" s="29"/>
      <c r="B45" t="s">
        <v>123</v>
      </c>
      <c r="C45" t="s">
        <v>121</v>
      </c>
      <c r="D45" t="s">
        <v>50</v>
      </c>
      <c r="E45" t="s">
        <v>40</v>
      </c>
      <c r="F45" t="s">
        <v>111</v>
      </c>
      <c r="N45" t="b" cm="1">
        <f t="array" ref="N45">SUMPRODUCT(--ISNUMBER(MATCH(TRIM(C45:L45),Extracted_Parameters!$B:$B,0)))=COUNTA(C45:K45)</f>
        <v>0</v>
      </c>
      <c r="O45" cm="1">
        <f t="array" ref="O45">COUNTA(C45:K45)-SUMPRODUCT(--ISNUMBER(MATCH(C45:K45,Extracted_Parameters!$B:$B,0)))</f>
        <v>1</v>
      </c>
    </row>
    <row r="46" spans="1:15" hidden="1" x14ac:dyDescent="0.3">
      <c r="A46" s="29"/>
      <c r="B46" t="s">
        <v>124</v>
      </c>
      <c r="C46" t="s">
        <v>37</v>
      </c>
      <c r="D46" t="s">
        <v>50</v>
      </c>
      <c r="E46" t="s">
        <v>14</v>
      </c>
      <c r="F46" t="s">
        <v>4</v>
      </c>
      <c r="G46" t="s">
        <v>45</v>
      </c>
      <c r="H46" t="s">
        <v>125</v>
      </c>
      <c r="I46" t="s">
        <v>126</v>
      </c>
      <c r="N46" t="b" cm="1">
        <f t="array" ref="N46">SUMPRODUCT(--ISNUMBER(MATCH(TRIM(C46:L46),Extracted_Parameters!$B:$B,0)))=COUNTA(C46:K46)</f>
        <v>0</v>
      </c>
      <c r="O46" cm="1">
        <f t="array" ref="O46">COUNTA(C46:K46)-SUMPRODUCT(--ISNUMBER(MATCH(C46:K46,Extracted_Parameters!$B:$B,0)))</f>
        <v>2</v>
      </c>
    </row>
    <row r="47" spans="1:15" hidden="1" x14ac:dyDescent="0.3">
      <c r="A47" s="29"/>
      <c r="B47" t="s">
        <v>127</v>
      </c>
      <c r="C47" t="s">
        <v>37</v>
      </c>
      <c r="D47" t="s">
        <v>50</v>
      </c>
      <c r="E47" t="s">
        <v>14</v>
      </c>
      <c r="F47" t="s">
        <v>4</v>
      </c>
      <c r="G47" t="s">
        <v>45</v>
      </c>
      <c r="H47" t="s">
        <v>128</v>
      </c>
      <c r="I47" t="s">
        <v>126</v>
      </c>
      <c r="N47" t="b" cm="1">
        <f t="array" ref="N47">SUMPRODUCT(--ISNUMBER(MATCH(TRIM(C47:L47),Extracted_Parameters!$B:$B,0)))=COUNTA(C47:K47)</f>
        <v>0</v>
      </c>
      <c r="O47" cm="1">
        <f t="array" ref="O47">COUNTA(C47:K47)-SUMPRODUCT(--ISNUMBER(MATCH(C47:K47,Extracted_Parameters!$B:$B,0)))</f>
        <v>2</v>
      </c>
    </row>
    <row r="48" spans="1:15" hidden="1" x14ac:dyDescent="0.3">
      <c r="A48" s="29"/>
      <c r="B48" t="s">
        <v>129</v>
      </c>
      <c r="C48" t="s">
        <v>101</v>
      </c>
      <c r="D48" t="s">
        <v>37</v>
      </c>
      <c r="E48" t="s">
        <v>50</v>
      </c>
      <c r="F48" t="s">
        <v>130</v>
      </c>
      <c r="G48" t="s">
        <v>4</v>
      </c>
      <c r="H48" t="s">
        <v>14</v>
      </c>
      <c r="I48" t="s">
        <v>131</v>
      </c>
      <c r="J48" t="s">
        <v>132</v>
      </c>
      <c r="N48" t="b" cm="1">
        <f t="array" ref="N48">SUMPRODUCT(--ISNUMBER(MATCH(TRIM(C48:L48),Extracted_Parameters!$B:$B,0)))=COUNTA(C48:K48)</f>
        <v>0</v>
      </c>
      <c r="O48" cm="1">
        <f t="array" ref="O48">COUNTA(C48:K48)-SUMPRODUCT(--ISNUMBER(MATCH(C48:K48,Extracted_Parameters!$B:$B,0)))</f>
        <v>4</v>
      </c>
    </row>
    <row r="49" spans="1:15" hidden="1" x14ac:dyDescent="0.3">
      <c r="A49" s="29"/>
      <c r="B49" t="s">
        <v>133</v>
      </c>
      <c r="C49" t="s">
        <v>63</v>
      </c>
      <c r="D49" t="s">
        <v>134</v>
      </c>
      <c r="E49" t="s">
        <v>50</v>
      </c>
      <c r="F49" t="s">
        <v>4</v>
      </c>
      <c r="G49" t="s">
        <v>14</v>
      </c>
      <c r="N49" t="b" cm="1">
        <f t="array" ref="N49">SUMPRODUCT(--ISNUMBER(MATCH(TRIM(C49:L49),Extracted_Parameters!$B:$B,0)))=COUNTA(C49:K49)</f>
        <v>0</v>
      </c>
      <c r="O49" cm="1">
        <f t="array" ref="O49">COUNTA(C49:K49)-SUMPRODUCT(--ISNUMBER(MATCH(C49:K49,Extracted_Parameters!$B:$B,0)))</f>
        <v>2</v>
      </c>
    </row>
    <row r="50" spans="1:15" x14ac:dyDescent="0.3">
      <c r="A50" s="29"/>
      <c r="B50" t="s">
        <v>135</v>
      </c>
      <c r="C50" t="s">
        <v>50</v>
      </c>
      <c r="D50" t="s">
        <v>4</v>
      </c>
      <c r="E50" t="s">
        <v>14</v>
      </c>
      <c r="F50" t="s">
        <v>37</v>
      </c>
      <c r="G50" t="s">
        <v>40</v>
      </c>
      <c r="H50" t="s">
        <v>136</v>
      </c>
      <c r="N50" t="b" cm="1">
        <f t="array" ref="N50">SUMPRODUCT(--ISNUMBER(MATCH(TRIM(C50:L50),Extracted_Parameters!$B:$B,0)))=COUNTA(C50:K50)</f>
        <v>0</v>
      </c>
      <c r="O50" cm="1">
        <f t="array" ref="O50">COUNTA(C50:K50)-SUMPRODUCT(--ISNUMBER(MATCH(C50:K50,Extracted_Parameters!$B:$B,0)))</f>
        <v>1</v>
      </c>
    </row>
    <row r="51" spans="1:15" x14ac:dyDescent="0.3">
      <c r="A51" s="29"/>
      <c r="B51" t="s">
        <v>137</v>
      </c>
      <c r="C51" t="s">
        <v>37</v>
      </c>
      <c r="D51" t="s">
        <v>50</v>
      </c>
      <c r="E51" t="s">
        <v>139</v>
      </c>
      <c r="F51" t="s">
        <v>14</v>
      </c>
      <c r="N51" t="b" cm="1">
        <f t="array" ref="N51">SUMPRODUCT(--ISNUMBER(MATCH(TRIM(C51:L51),Extracted_Parameters!$B:$B,0)))=COUNTA(C51:K51)</f>
        <v>0</v>
      </c>
      <c r="O51" cm="1">
        <f t="array" ref="O51">COUNTA(C51:K51)-SUMPRODUCT(--ISNUMBER(MATCH(C51:K51,Extracted_Parameters!$B:$B,0)))</f>
        <v>1</v>
      </c>
    </row>
    <row r="52" spans="1:15" s="6" customFormat="1" hidden="1" x14ac:dyDescent="0.3">
      <c r="A52" s="29"/>
      <c r="B52" t="s">
        <v>140</v>
      </c>
      <c r="N52" t="b" cm="1">
        <f t="array" ref="N52">SUMPRODUCT(--ISNUMBER(MATCH(TRIM(C52:L52),Extracted_Parameters!$B:$B,0)))=COUNTA(C52:K52)</f>
        <v>1</v>
      </c>
      <c r="O52" t="s">
        <v>57</v>
      </c>
    </row>
    <row r="53" spans="1:15" hidden="1" x14ac:dyDescent="0.3">
      <c r="A53" s="29"/>
      <c r="B53" t="s">
        <v>141</v>
      </c>
      <c r="C53" t="s">
        <v>142</v>
      </c>
      <c r="D53" t="s">
        <v>143</v>
      </c>
      <c r="E53" t="s">
        <v>40</v>
      </c>
      <c r="F53" t="s">
        <v>111</v>
      </c>
      <c r="G53" t="s">
        <v>144</v>
      </c>
      <c r="N53" t="b" cm="1">
        <f t="array" ref="N53">SUMPRODUCT(--ISNUMBER(MATCH(TRIM(C53:L53),Extracted_Parameters!$B:$B,0)))=COUNTA(C53:K53)</f>
        <v>0</v>
      </c>
      <c r="O53" cm="1">
        <f t="array" ref="O53">COUNTA(C53:K53)-SUMPRODUCT(--ISNUMBER(MATCH(C53:K53,Extracted_Parameters!$B:$B,0)))</f>
        <v>3</v>
      </c>
    </row>
    <row r="54" spans="1:15" hidden="1" x14ac:dyDescent="0.3">
      <c r="A54" s="29"/>
      <c r="B54" t="s">
        <v>145</v>
      </c>
      <c r="C54" t="s">
        <v>50</v>
      </c>
      <c r="D54" t="s">
        <v>146</v>
      </c>
      <c r="E54" t="s">
        <v>147</v>
      </c>
      <c r="F54" t="s">
        <v>45</v>
      </c>
      <c r="G54" t="s">
        <v>4</v>
      </c>
      <c r="H54" t="s">
        <v>14</v>
      </c>
      <c r="N54" t="b" cm="1">
        <f t="array" ref="N54">SUMPRODUCT(--ISNUMBER(MATCH(TRIM(C54:L54),Extracted_Parameters!$B:$B,0)))=COUNTA(C54:K54)</f>
        <v>0</v>
      </c>
      <c r="O54" cm="1">
        <f t="array" ref="O54">COUNTA(C54:K54)-SUMPRODUCT(--ISNUMBER(MATCH(C54:K54,Extracted_Parameters!$B:$B,0)))</f>
        <v>2</v>
      </c>
    </row>
    <row r="55" spans="1:15" hidden="1" x14ac:dyDescent="0.3">
      <c r="A55" s="29"/>
      <c r="B55" t="s">
        <v>148</v>
      </c>
      <c r="C55" t="s">
        <v>136</v>
      </c>
      <c r="D55" t="s">
        <v>45</v>
      </c>
      <c r="E55" t="s">
        <v>4</v>
      </c>
      <c r="F55" t="s">
        <v>14</v>
      </c>
      <c r="G55" t="s">
        <v>37</v>
      </c>
      <c r="H55" t="s">
        <v>50</v>
      </c>
      <c r="I55" t="s">
        <v>126</v>
      </c>
      <c r="J55" t="s">
        <v>149</v>
      </c>
      <c r="N55" t="b" cm="1">
        <f t="array" ref="N55">SUMPRODUCT(--ISNUMBER(MATCH(TRIM(C55:L55),Extracted_Parameters!$B:$B,0)))=COUNTA(C55:K55)</f>
        <v>0</v>
      </c>
      <c r="O55" cm="1">
        <f t="array" ref="O55">COUNTA(C55:K55)-SUMPRODUCT(--ISNUMBER(MATCH(C55:K55,Extracted_Parameters!$B:$B,0)))</f>
        <v>3</v>
      </c>
    </row>
    <row r="56" spans="1:15" hidden="1" x14ac:dyDescent="0.3">
      <c r="A56" s="29"/>
      <c r="B56" t="s">
        <v>150</v>
      </c>
      <c r="C56" t="s">
        <v>136</v>
      </c>
      <c r="D56" t="s">
        <v>45</v>
      </c>
      <c r="E56" t="s">
        <v>4</v>
      </c>
      <c r="F56" t="s">
        <v>14</v>
      </c>
      <c r="G56" t="s">
        <v>37</v>
      </c>
      <c r="H56" t="s">
        <v>50</v>
      </c>
      <c r="I56" t="s">
        <v>126</v>
      </c>
      <c r="J56" t="s">
        <v>149</v>
      </c>
      <c r="N56" t="b" cm="1">
        <f t="array" ref="N56">SUMPRODUCT(--ISNUMBER(MATCH(TRIM(C56:L56),Extracted_Parameters!$B:$B,0)))=COUNTA(C56:K56)</f>
        <v>0</v>
      </c>
      <c r="O56" cm="1">
        <f t="array" ref="O56">COUNTA(C56:K56)-SUMPRODUCT(--ISNUMBER(MATCH(C56:K56,Extracted_Parameters!$B:$B,0)))</f>
        <v>3</v>
      </c>
    </row>
    <row r="57" spans="1:15" hidden="1" x14ac:dyDescent="0.3">
      <c r="A57" s="29"/>
      <c r="B57" t="s">
        <v>151</v>
      </c>
      <c r="C57" t="s">
        <v>152</v>
      </c>
      <c r="D57" t="s">
        <v>153</v>
      </c>
      <c r="E57" t="s">
        <v>14</v>
      </c>
      <c r="F57" t="s">
        <v>50</v>
      </c>
      <c r="N57" t="b" cm="1">
        <f t="array" ref="N57">SUMPRODUCT(--ISNUMBER(MATCH(TRIM(C57:L57),Extracted_Parameters!$B:$B,0)))=COUNTA(C57:K57)</f>
        <v>0</v>
      </c>
      <c r="O57" cm="1">
        <f t="array" ref="O57">COUNTA(C57:K57)-SUMPRODUCT(--ISNUMBER(MATCH(C57:K57,Extracted_Parameters!$B:$B,0)))</f>
        <v>2</v>
      </c>
    </row>
    <row r="58" spans="1:15" s="6" customFormat="1" hidden="1" x14ac:dyDescent="0.3">
      <c r="A58" s="29" t="s">
        <v>154</v>
      </c>
      <c r="B58" t="s">
        <v>155</v>
      </c>
      <c r="N58" t="b" cm="1">
        <f t="array" ref="N58">SUMPRODUCT(--ISNUMBER(MATCH(TRIM(C58:L58),Extracted_Parameters!$B:$B,0)))=COUNTA(C58:K58)</f>
        <v>1</v>
      </c>
      <c r="O58" t="s">
        <v>57</v>
      </c>
    </row>
    <row r="59" spans="1:15" hidden="1" x14ac:dyDescent="0.3">
      <c r="A59" s="29"/>
      <c r="B59" t="s">
        <v>156</v>
      </c>
      <c r="C59" t="s">
        <v>157</v>
      </c>
      <c r="D59" t="s">
        <v>40</v>
      </c>
      <c r="E59" t="s">
        <v>158</v>
      </c>
      <c r="F59" t="s">
        <v>50</v>
      </c>
      <c r="N59" t="b" cm="1">
        <f t="array" ref="N59">SUMPRODUCT(--ISNUMBER(MATCH(TRIM(C59:L59),Extracted_Parameters!$B:$B,0)))=COUNTA(C59:K59)</f>
        <v>0</v>
      </c>
      <c r="O59" cm="1">
        <f t="array" ref="O59">COUNTA(C59:K59)-SUMPRODUCT(--ISNUMBER(MATCH(C59:K59,Extracted_Parameters!$B:$B,0)))</f>
        <v>2</v>
      </c>
    </row>
    <row r="60" spans="1:15" hidden="1" x14ac:dyDescent="0.3">
      <c r="A60" s="29"/>
      <c r="B60" t="s">
        <v>159</v>
      </c>
      <c r="C60" t="s">
        <v>50</v>
      </c>
      <c r="D60" t="s">
        <v>160</v>
      </c>
      <c r="E60" t="s">
        <v>158</v>
      </c>
      <c r="F60" t="s">
        <v>161</v>
      </c>
      <c r="N60" t="b" cm="1">
        <f t="array" ref="N60">SUMPRODUCT(--ISNUMBER(MATCH(TRIM(C60:L60),Extracted_Parameters!$B:$B,0)))=COUNTA(C60:K60)</f>
        <v>0</v>
      </c>
      <c r="O60" cm="1">
        <f t="array" ref="O60">COUNTA(C60:K60)-SUMPRODUCT(--ISNUMBER(MATCH(C60:K60,Extracted_Parameters!$B:$B,0)))</f>
        <v>3</v>
      </c>
    </row>
    <row r="61" spans="1:15" s="6" customFormat="1" hidden="1" x14ac:dyDescent="0.3">
      <c r="A61" s="29"/>
      <c r="B61" t="s">
        <v>162</v>
      </c>
      <c r="N61" t="b" cm="1">
        <f t="array" ref="N61">SUMPRODUCT(--ISNUMBER(MATCH(TRIM(C61:L61),Extracted_Parameters!$B:$B,0)))=COUNTA(C61:K61)</f>
        <v>1</v>
      </c>
      <c r="O61" t="s">
        <v>57</v>
      </c>
    </row>
    <row r="62" spans="1:15" x14ac:dyDescent="0.3">
      <c r="A62" s="29"/>
      <c r="B62" t="s">
        <v>163</v>
      </c>
      <c r="C62" t="s">
        <v>50</v>
      </c>
      <c r="D62" t="s">
        <v>40</v>
      </c>
      <c r="E62" t="s">
        <v>164</v>
      </c>
      <c r="N62" t="b" cm="1">
        <f t="array" ref="N62">SUMPRODUCT(--ISNUMBER(MATCH(TRIM(C62:L62),Extracted_Parameters!$B:$B,0)))=COUNTA(C62:K62)</f>
        <v>0</v>
      </c>
      <c r="O62" cm="1">
        <f t="array" ref="O62">COUNTA(C62:K62)-SUMPRODUCT(--ISNUMBER(MATCH(C62:K62,Extracted_Parameters!$B:$B,0)))</f>
        <v>1</v>
      </c>
    </row>
    <row r="63" spans="1:15" hidden="1" x14ac:dyDescent="0.3">
      <c r="A63" s="29"/>
      <c r="B63" t="s">
        <v>165</v>
      </c>
      <c r="C63" t="s">
        <v>166</v>
      </c>
      <c r="D63" t="s">
        <v>167</v>
      </c>
      <c r="E63" t="s">
        <v>40</v>
      </c>
      <c r="N63" t="b" cm="1">
        <f t="array" ref="N63">SUMPRODUCT(--ISNUMBER(MATCH(TRIM(C63:L63),Extracted_Parameters!$B:$B,0)))=COUNTA(C63:K63)</f>
        <v>0</v>
      </c>
      <c r="O63" cm="1">
        <f t="array" ref="O63">COUNTA(C63:K63)-SUMPRODUCT(--ISNUMBER(MATCH(C63:K63,Extracted_Parameters!$B:$B,0)))</f>
        <v>2</v>
      </c>
    </row>
    <row r="64" spans="1:15" x14ac:dyDescent="0.3">
      <c r="A64" s="29" t="s">
        <v>168</v>
      </c>
      <c r="B64" t="s">
        <v>169</v>
      </c>
      <c r="C64" t="s">
        <v>50</v>
      </c>
      <c r="D64" t="s">
        <v>170</v>
      </c>
      <c r="N64" t="b" cm="1">
        <f t="array" ref="N64">SUMPRODUCT(--ISNUMBER(MATCH(TRIM(C64:L64),Extracted_Parameters!$B:$B,0)))=COUNTA(C64:K64)</f>
        <v>0</v>
      </c>
      <c r="O64" cm="1">
        <f t="array" ref="O64">COUNTA(C64:K64)-SUMPRODUCT(--ISNUMBER(MATCH(C64:K64,Extracted_Parameters!$B:$B,0)))</f>
        <v>1</v>
      </c>
    </row>
    <row r="65" spans="1:15" hidden="1" x14ac:dyDescent="0.3">
      <c r="A65" s="29"/>
      <c r="B65" t="s">
        <v>171</v>
      </c>
      <c r="C65" t="s">
        <v>37</v>
      </c>
      <c r="D65" t="s">
        <v>4</v>
      </c>
      <c r="E65" t="s">
        <v>14</v>
      </c>
      <c r="F65" t="s">
        <v>50</v>
      </c>
      <c r="G65" t="s">
        <v>111</v>
      </c>
      <c r="H65" t="s">
        <v>372</v>
      </c>
      <c r="I65" t="s">
        <v>173</v>
      </c>
      <c r="N65" t="b" cm="1">
        <f t="array" ref="N65">SUMPRODUCT(--ISNUMBER(MATCH(TRIM(C65:L65),Extracted_Parameters!$B:$B,0)))=COUNTA(C65:K65)</f>
        <v>1</v>
      </c>
      <c r="O65" cm="1">
        <f t="array" ref="O65">COUNTA(C65:K65)-SUMPRODUCT(--ISNUMBER(MATCH(C65:K65,Extracted_Parameters!$B:$B,0)))</f>
        <v>0</v>
      </c>
    </row>
    <row r="66" spans="1:15" x14ac:dyDescent="0.3">
      <c r="A66" s="29"/>
      <c r="B66" t="s">
        <v>174</v>
      </c>
      <c r="C66" t="s">
        <v>50</v>
      </c>
      <c r="D66" t="s">
        <v>111</v>
      </c>
      <c r="E66" t="s">
        <v>175</v>
      </c>
      <c r="F66" t="s">
        <v>173</v>
      </c>
      <c r="N66" t="b" cm="1">
        <f t="array" ref="N66">SUMPRODUCT(--ISNUMBER(MATCH(TRIM(C66:L66),Extracted_Parameters!$B:$B,0)))=COUNTA(C66:K66)</f>
        <v>0</v>
      </c>
      <c r="O66" cm="1">
        <f t="array" ref="O66">COUNTA(C66:K66)-SUMPRODUCT(--ISNUMBER(MATCH(C66:K66,Extracted_Parameters!$B:$B,0)))</f>
        <v>1</v>
      </c>
    </row>
    <row r="67" spans="1:15" x14ac:dyDescent="0.3">
      <c r="A67" s="29"/>
      <c r="B67" t="s">
        <v>176</v>
      </c>
      <c r="C67" t="s">
        <v>50</v>
      </c>
      <c r="D67" t="s">
        <v>177</v>
      </c>
      <c r="N67" t="b" cm="1">
        <f t="array" ref="N67">SUMPRODUCT(--ISNUMBER(MATCH(TRIM(C67:L67),Extracted_Parameters!$B:$B,0)))=COUNTA(C67:K67)</f>
        <v>0</v>
      </c>
      <c r="O67" cm="1">
        <f t="array" ref="O67">COUNTA(C67:K67)-SUMPRODUCT(--ISNUMBER(MATCH(C67:K67,Extracted_Parameters!$B:$B,0)))</f>
        <v>1</v>
      </c>
    </row>
    <row r="68" spans="1:15" hidden="1" x14ac:dyDescent="0.3">
      <c r="A68" s="29"/>
      <c r="B68" t="s">
        <v>178</v>
      </c>
      <c r="C68" t="s">
        <v>50</v>
      </c>
      <c r="D68" t="s">
        <v>37</v>
      </c>
      <c r="E68" t="s">
        <v>4</v>
      </c>
      <c r="F68" t="s">
        <v>14</v>
      </c>
      <c r="G68" t="s">
        <v>565</v>
      </c>
      <c r="H68" t="s">
        <v>180</v>
      </c>
      <c r="I68" t="s">
        <v>181</v>
      </c>
      <c r="N68" t="b" cm="1">
        <f t="array" ref="N68">SUMPRODUCT(--ISNUMBER(MATCH(TRIM(C68:L68),Extracted_Parameters!$B:$B,0)))=COUNTA(C68:K68)</f>
        <v>0</v>
      </c>
      <c r="O68" cm="1">
        <f t="array" ref="O68">COUNTA(C68:K68)-SUMPRODUCT(--ISNUMBER(MATCH(C68:K68,Extracted_Parameters!$B:$B,0)))</f>
        <v>3</v>
      </c>
    </row>
    <row r="69" spans="1:15" x14ac:dyDescent="0.3">
      <c r="A69" s="29"/>
      <c r="B69" t="s">
        <v>566</v>
      </c>
      <c r="C69" t="s">
        <v>183</v>
      </c>
      <c r="N69" t="b" cm="1">
        <f t="array" ref="N69">SUMPRODUCT(--ISNUMBER(MATCH(TRIM(C69:L69),Extracted_Parameters!$B:$B,0)))=COUNTA(C69:K69)</f>
        <v>0</v>
      </c>
      <c r="O69" cm="1">
        <f t="array" ref="O69">COUNTA(C69:K69)-SUMPRODUCT(--ISNUMBER(MATCH(C69:K69,Extracted_Parameters!$B:$B,0)))</f>
        <v>1</v>
      </c>
    </row>
    <row r="70" spans="1:15" hidden="1" x14ac:dyDescent="0.3">
      <c r="A70" s="29" t="s">
        <v>184</v>
      </c>
      <c r="B70" t="s">
        <v>185</v>
      </c>
      <c r="C70" t="s">
        <v>186</v>
      </c>
      <c r="D70" t="s">
        <v>187</v>
      </c>
      <c r="E70" t="s">
        <v>40</v>
      </c>
      <c r="F70" t="s">
        <v>188</v>
      </c>
      <c r="N70" t="b" cm="1">
        <f t="array" ref="N70">SUMPRODUCT(--ISNUMBER(MATCH(TRIM(C70:L70),Extracted_Parameters!$B:$B,0)))=COUNTA(C70:K70)</f>
        <v>0</v>
      </c>
      <c r="O70" cm="1">
        <f t="array" ref="O70">COUNTA(C70:K70)-SUMPRODUCT(--ISNUMBER(MATCH(C70:K70,Extracted_Parameters!$B:$B,0)))</f>
        <v>3</v>
      </c>
    </row>
    <row r="71" spans="1:15" hidden="1" x14ac:dyDescent="0.3">
      <c r="A71" s="29"/>
      <c r="B71" t="s">
        <v>189</v>
      </c>
      <c r="C71" t="s">
        <v>37</v>
      </c>
      <c r="D71" t="s">
        <v>40</v>
      </c>
      <c r="E71" t="s">
        <v>166</v>
      </c>
      <c r="F71" t="s">
        <v>190</v>
      </c>
      <c r="N71" t="b" cm="1">
        <f t="array" ref="N71">SUMPRODUCT(--ISNUMBER(MATCH(TRIM(C71:L71),Extracted_Parameters!$B:$B,0)))=COUNTA(C71:K71)</f>
        <v>0</v>
      </c>
      <c r="O71" cm="1">
        <f t="array" ref="O71">COUNTA(C71:K71)-SUMPRODUCT(--ISNUMBER(MATCH(C71:K71,Extracted_Parameters!$B:$B,0)))</f>
        <v>2</v>
      </c>
    </row>
    <row r="72" spans="1:15" hidden="1" x14ac:dyDescent="0.3">
      <c r="A72" s="29"/>
      <c r="B72" t="s">
        <v>191</v>
      </c>
      <c r="C72" t="s">
        <v>37</v>
      </c>
      <c r="D72" t="s">
        <v>40</v>
      </c>
      <c r="E72" t="s">
        <v>166</v>
      </c>
      <c r="F72" t="s">
        <v>190</v>
      </c>
      <c r="N72" t="b" cm="1">
        <f t="array" ref="N72">SUMPRODUCT(--ISNUMBER(MATCH(TRIM(C72:L72),Extracted_Parameters!$B:$B,0)))=COUNTA(C72:K72)</f>
        <v>0</v>
      </c>
      <c r="O72" cm="1">
        <f t="array" ref="O72">COUNTA(C72:K72)-SUMPRODUCT(--ISNUMBER(MATCH(C72:K72,Extracted_Parameters!$B:$B,0)))</f>
        <v>2</v>
      </c>
    </row>
    <row r="73" spans="1:15" hidden="1" x14ac:dyDescent="0.3">
      <c r="A73" s="29"/>
      <c r="B73" t="s">
        <v>192</v>
      </c>
      <c r="C73" t="s">
        <v>37</v>
      </c>
      <c r="D73" t="s">
        <v>40</v>
      </c>
      <c r="E73" t="s">
        <v>166</v>
      </c>
      <c r="F73" t="s">
        <v>190</v>
      </c>
      <c r="N73" t="b" cm="1">
        <f t="array" ref="N73">SUMPRODUCT(--ISNUMBER(MATCH(TRIM(C73:L73),Extracted_Parameters!$B:$B,0)))=COUNTA(C73:K73)</f>
        <v>0</v>
      </c>
      <c r="O73" cm="1">
        <f t="array" ref="O73">COUNTA(C73:K73)-SUMPRODUCT(--ISNUMBER(MATCH(C73:K73,Extracted_Parameters!$B:$B,0)))</f>
        <v>2</v>
      </c>
    </row>
    <row r="74" spans="1:15" hidden="1" x14ac:dyDescent="0.3">
      <c r="A74" s="29"/>
      <c r="B74" t="s">
        <v>193</v>
      </c>
      <c r="C74" t="s">
        <v>37</v>
      </c>
      <c r="D74" t="s">
        <v>40</v>
      </c>
      <c r="E74" t="s">
        <v>166</v>
      </c>
      <c r="F74" t="s">
        <v>190</v>
      </c>
      <c r="N74" t="b" cm="1">
        <f t="array" ref="N74">SUMPRODUCT(--ISNUMBER(MATCH(TRIM(C74:L74),Extracted_Parameters!$B:$B,0)))=COUNTA(C74:K74)</f>
        <v>0</v>
      </c>
      <c r="O74" cm="1">
        <f t="array" ref="O74">COUNTA(C74:K74)-SUMPRODUCT(--ISNUMBER(MATCH(C74:K74,Extracted_Parameters!$B:$B,0)))</f>
        <v>2</v>
      </c>
    </row>
    <row r="75" spans="1:15" hidden="1" x14ac:dyDescent="0.3">
      <c r="A75" s="29"/>
      <c r="B75" t="s">
        <v>194</v>
      </c>
      <c r="C75" t="s">
        <v>37</v>
      </c>
      <c r="D75" t="s">
        <v>40</v>
      </c>
      <c r="E75" t="s">
        <v>166</v>
      </c>
      <c r="F75" t="s">
        <v>190</v>
      </c>
      <c r="N75" t="b" cm="1">
        <f t="array" ref="N75">SUMPRODUCT(--ISNUMBER(MATCH(TRIM(C75:L75),Extracted_Parameters!$B:$B,0)))=COUNTA(C75:K75)</f>
        <v>0</v>
      </c>
      <c r="O75" cm="1">
        <f t="array" ref="O75">COUNTA(C75:K75)-SUMPRODUCT(--ISNUMBER(MATCH(C75:K75,Extracted_Parameters!$B:$B,0)))</f>
        <v>2</v>
      </c>
    </row>
    <row r="76" spans="1:15" hidden="1" x14ac:dyDescent="0.3">
      <c r="A76" s="29"/>
      <c r="B76" t="s">
        <v>195</v>
      </c>
      <c r="C76" t="s">
        <v>37</v>
      </c>
      <c r="D76" t="s">
        <v>40</v>
      </c>
      <c r="E76" t="s">
        <v>166</v>
      </c>
      <c r="F76" t="s">
        <v>190</v>
      </c>
      <c r="N76" t="b" cm="1">
        <f t="array" ref="N76">SUMPRODUCT(--ISNUMBER(MATCH(TRIM(C76:L76),Extracted_Parameters!$B:$B,0)))=COUNTA(C76:K76)</f>
        <v>0</v>
      </c>
      <c r="O76" cm="1">
        <f t="array" ref="O76">COUNTA(C76:K76)-SUMPRODUCT(--ISNUMBER(MATCH(C76:K76,Extracted_Parameters!$B:$B,0)))</f>
        <v>2</v>
      </c>
    </row>
    <row r="77" spans="1:15" ht="28.8" hidden="1" x14ac:dyDescent="0.3">
      <c r="A77" s="29"/>
      <c r="B77" t="s">
        <v>196</v>
      </c>
      <c r="C77" t="s">
        <v>197</v>
      </c>
      <c r="D77" t="s">
        <v>37</v>
      </c>
      <c r="E77" t="s">
        <v>40</v>
      </c>
      <c r="F77" t="s">
        <v>50</v>
      </c>
      <c r="G77" s="7" t="s">
        <v>567</v>
      </c>
      <c r="H77" t="s">
        <v>190</v>
      </c>
      <c r="N77" t="b" cm="1">
        <f t="array" ref="N77">SUMPRODUCT(--ISNUMBER(MATCH(TRIM(C77:L77),Extracted_Parameters!$B:$B,0)))=COUNTA(C77:K77)</f>
        <v>0</v>
      </c>
      <c r="O77" cm="1">
        <f t="array" ref="O77">COUNTA(C77:K77)-SUMPRODUCT(--ISNUMBER(MATCH(C77:K77,Extracted_Parameters!$B:$B,0)))</f>
        <v>3</v>
      </c>
    </row>
    <row r="78" spans="1:15" hidden="1" x14ac:dyDescent="0.3">
      <c r="A78" s="29"/>
      <c r="B78" t="s">
        <v>199</v>
      </c>
      <c r="C78" t="s">
        <v>37</v>
      </c>
      <c r="D78" t="s">
        <v>40</v>
      </c>
      <c r="E78" t="s">
        <v>166</v>
      </c>
      <c r="F78" t="s">
        <v>190</v>
      </c>
      <c r="N78" t="b" cm="1">
        <f t="array" ref="N78">SUMPRODUCT(--ISNUMBER(MATCH(TRIM(C78:L78),Extracted_Parameters!$B:$B,0)))=COUNTA(C78:K78)</f>
        <v>0</v>
      </c>
      <c r="O78" cm="1">
        <f t="array" ref="O78">COUNTA(C78:K78)-SUMPRODUCT(--ISNUMBER(MATCH(C78:K78,Extracted_Parameters!$B:$B,0)))</f>
        <v>2</v>
      </c>
    </row>
    <row r="79" spans="1:15" hidden="1" x14ac:dyDescent="0.3">
      <c r="A79" s="34" t="s">
        <v>200</v>
      </c>
      <c r="B79" t="s">
        <v>201</v>
      </c>
      <c r="C79" t="s">
        <v>50</v>
      </c>
      <c r="D79" t="s">
        <v>40</v>
      </c>
      <c r="E79" t="s">
        <v>202</v>
      </c>
      <c r="F79" t="s">
        <v>203</v>
      </c>
      <c r="N79" t="b" cm="1">
        <f t="array" ref="N79">SUMPRODUCT(--ISNUMBER(MATCH(TRIM(C79:L79),Extracted_Parameters!$B:$B,0)))=COUNTA(C79:K79)</f>
        <v>0</v>
      </c>
      <c r="O79" cm="1">
        <f t="array" ref="O79">COUNTA(C79:K79)-SUMPRODUCT(--ISNUMBER(MATCH(C79:K79,Extracted_Parameters!$B:$B,0)))</f>
        <v>2</v>
      </c>
    </row>
    <row r="80" spans="1:15" hidden="1" x14ac:dyDescent="0.3">
      <c r="A80" s="34"/>
      <c r="B80" t="s">
        <v>204</v>
      </c>
      <c r="C80" t="s">
        <v>50</v>
      </c>
      <c r="D80" t="s">
        <v>40</v>
      </c>
      <c r="E80" t="s">
        <v>202</v>
      </c>
      <c r="F80" t="s">
        <v>205</v>
      </c>
      <c r="G80" t="s">
        <v>206</v>
      </c>
      <c r="N80" t="b" cm="1">
        <f t="array" ref="N80">SUMPRODUCT(--ISNUMBER(MATCH(TRIM(C80:L80),Extracted_Parameters!$B:$B,0)))=COUNTA(C80:K80)</f>
        <v>0</v>
      </c>
      <c r="O80" cm="1">
        <f t="array" ref="O80">COUNTA(C80:K80)-SUMPRODUCT(--ISNUMBER(MATCH(C80:K80,Extracted_Parameters!$B:$B,0)))</f>
        <v>3</v>
      </c>
    </row>
    <row r="81" spans="1:15" x14ac:dyDescent="0.3">
      <c r="A81" s="34"/>
      <c r="B81" t="s">
        <v>207</v>
      </c>
      <c r="C81" t="s">
        <v>40</v>
      </c>
      <c r="D81" t="s">
        <v>208</v>
      </c>
      <c r="N81" t="b" cm="1">
        <f t="array" ref="N81">SUMPRODUCT(--ISNUMBER(MATCH(TRIM(C81:L81),Extracted_Parameters!$B:$B,0)))=COUNTA(C81:K81)</f>
        <v>0</v>
      </c>
      <c r="O81" cm="1">
        <f t="array" ref="O81">COUNTA(C81:K81)-SUMPRODUCT(--ISNUMBER(MATCH(C81:K81,Extracted_Parameters!$B:$B,0)))</f>
        <v>1</v>
      </c>
    </row>
    <row r="82" spans="1:15" s="5" customFormat="1" hidden="1" x14ac:dyDescent="0.3">
      <c r="A82" s="29" t="s">
        <v>209</v>
      </c>
      <c r="B82" t="s">
        <v>210</v>
      </c>
      <c r="N82" t="b" cm="1">
        <f t="array" ref="N82">SUMPRODUCT(--ISNUMBER(MATCH(TRIM(C82:L82),Extracted_Parameters!$B:$B,0)))=COUNTA(C82:K82)</f>
        <v>1</v>
      </c>
      <c r="O82" t="s">
        <v>57</v>
      </c>
    </row>
    <row r="83" spans="1:15" s="5" customFormat="1" hidden="1" x14ac:dyDescent="0.3">
      <c r="A83" s="29"/>
      <c r="B83" t="s">
        <v>211</v>
      </c>
      <c r="N83" t="b" cm="1">
        <f t="array" ref="N83">SUMPRODUCT(--ISNUMBER(MATCH(TRIM(C83:L83),Extracted_Parameters!$B:$B,0)))=COUNTA(C83:K83)</f>
        <v>1</v>
      </c>
      <c r="O83" t="s">
        <v>57</v>
      </c>
    </row>
    <row r="84" spans="1:15" hidden="1" x14ac:dyDescent="0.3">
      <c r="A84" s="29"/>
      <c r="B84" t="s">
        <v>212</v>
      </c>
      <c r="C84" t="s">
        <v>213</v>
      </c>
      <c r="D84" t="s">
        <v>50</v>
      </c>
      <c r="E84" t="s">
        <v>134</v>
      </c>
      <c r="F84" t="s">
        <v>4</v>
      </c>
      <c r="G84" t="s">
        <v>14</v>
      </c>
      <c r="H84" t="s">
        <v>214</v>
      </c>
      <c r="N84" t="b" cm="1">
        <f t="array" ref="N84">SUMPRODUCT(--ISNUMBER(MATCH(TRIM(C84:L84),Extracted_Parameters!$B:$B,0)))=COUNTA(C84:K84)</f>
        <v>0</v>
      </c>
      <c r="O84" cm="1">
        <f t="array" ref="O84">COUNTA(C84:K84)-SUMPRODUCT(--ISNUMBER(MATCH(C84:K84,Extracted_Parameters!$B:$B,0)))</f>
        <v>3</v>
      </c>
    </row>
    <row r="85" spans="1:15" hidden="1" x14ac:dyDescent="0.3">
      <c r="A85" s="29"/>
      <c r="B85" t="s">
        <v>215</v>
      </c>
      <c r="C85" t="s">
        <v>50</v>
      </c>
      <c r="D85" t="s">
        <v>216</v>
      </c>
      <c r="E85" t="s">
        <v>111</v>
      </c>
      <c r="F85" t="s">
        <v>217</v>
      </c>
      <c r="G85" t="s">
        <v>218</v>
      </c>
      <c r="N85" t="b" cm="1">
        <f t="array" ref="N85">SUMPRODUCT(--ISNUMBER(MATCH(TRIM(C85:L85),Extracted_Parameters!$B:$B,0)))=COUNTA(C85:K85)</f>
        <v>0</v>
      </c>
      <c r="O85" cm="1">
        <f t="array" ref="O85">COUNTA(C85:K85)-SUMPRODUCT(--ISNUMBER(MATCH(C85:K85,Extracted_Parameters!$B:$B,0)))</f>
        <v>2</v>
      </c>
    </row>
    <row r="86" spans="1:15" hidden="1" x14ac:dyDescent="0.3">
      <c r="A86" s="29"/>
      <c r="B86" t="s">
        <v>219</v>
      </c>
      <c r="C86" t="s">
        <v>50</v>
      </c>
      <c r="D86" t="s">
        <v>40</v>
      </c>
      <c r="E86" t="s">
        <v>111</v>
      </c>
      <c r="N86" t="b" cm="1">
        <f t="array" ref="N86">SUMPRODUCT(--ISNUMBER(MATCH(TRIM(C86:L86),Extracted_Parameters!$B:$B,0)))=COUNTA(C86:K86)</f>
        <v>1</v>
      </c>
      <c r="O86" cm="1">
        <f t="array" ref="O86">COUNTA(C86:K86)-SUMPRODUCT(--ISNUMBER(MATCH(C86:K86,Extracted_Parameters!$B:$B,0)))</f>
        <v>0</v>
      </c>
    </row>
    <row r="87" spans="1:15" hidden="1" x14ac:dyDescent="0.3">
      <c r="A87" s="29"/>
      <c r="B87" t="s">
        <v>220</v>
      </c>
      <c r="C87" t="s">
        <v>50</v>
      </c>
      <c r="D87" t="s">
        <v>40</v>
      </c>
      <c r="E87" t="s">
        <v>221</v>
      </c>
      <c r="F87" t="s">
        <v>222</v>
      </c>
      <c r="N87" t="b" cm="1">
        <f t="array" ref="N87">SUMPRODUCT(--ISNUMBER(MATCH(TRIM(C87:L87),Extracted_Parameters!$B:$B,0)))=COUNTA(C87:K87)</f>
        <v>0</v>
      </c>
      <c r="O87" cm="1">
        <f t="array" ref="O87">COUNTA(C87:K87)-SUMPRODUCT(--ISNUMBER(MATCH(C87:K87,Extracted_Parameters!$B:$B,0)))</f>
        <v>2</v>
      </c>
    </row>
    <row r="88" spans="1:15" hidden="1" x14ac:dyDescent="0.3">
      <c r="A88" s="29"/>
      <c r="B88" t="s">
        <v>223</v>
      </c>
      <c r="C88" t="s">
        <v>50</v>
      </c>
      <c r="D88" t="s">
        <v>224</v>
      </c>
      <c r="E88" t="s">
        <v>40</v>
      </c>
      <c r="F88" t="s">
        <v>158</v>
      </c>
      <c r="N88" t="b" cm="1">
        <f t="array" ref="N88">SUMPRODUCT(--ISNUMBER(MATCH(TRIM(C88:L88),Extracted_Parameters!$B:$B,0)))=COUNTA(C88:K88)</f>
        <v>0</v>
      </c>
      <c r="O88" cm="1">
        <f t="array" ref="O88">COUNTA(C88:K88)-SUMPRODUCT(--ISNUMBER(MATCH(C88:K88,Extracted_Parameters!$B:$B,0)))</f>
        <v>2</v>
      </c>
    </row>
    <row r="89" spans="1:15" x14ac:dyDescent="0.3">
      <c r="A89" s="29"/>
      <c r="B89" t="s">
        <v>225</v>
      </c>
      <c r="C89" t="s">
        <v>50</v>
      </c>
      <c r="D89" t="s">
        <v>221</v>
      </c>
      <c r="E89" t="s">
        <v>40</v>
      </c>
      <c r="F89" t="s">
        <v>111</v>
      </c>
      <c r="N89" t="b" cm="1">
        <f t="array" ref="N89">SUMPRODUCT(--ISNUMBER(MATCH(TRIM(C89:L89),Extracted_Parameters!$B:$B,0)))=COUNTA(C89:K89)</f>
        <v>0</v>
      </c>
      <c r="O89" cm="1">
        <f t="array" ref="O89">COUNTA(C89:K89)-SUMPRODUCT(--ISNUMBER(MATCH(C89:K89,Extracted_Parameters!$B:$B,0)))</f>
        <v>1</v>
      </c>
    </row>
    <row r="90" spans="1:15" hidden="1" x14ac:dyDescent="0.3">
      <c r="A90" s="2" t="s">
        <v>226</v>
      </c>
      <c r="B90" t="s">
        <v>227</v>
      </c>
      <c r="C90" t="s">
        <v>50</v>
      </c>
      <c r="D90" t="s">
        <v>37</v>
      </c>
      <c r="E90" t="s">
        <v>228</v>
      </c>
      <c r="F90" t="s">
        <v>229</v>
      </c>
      <c r="G90" t="s">
        <v>230</v>
      </c>
      <c r="N90" t="b" cm="1">
        <f t="array" ref="N90">SUMPRODUCT(--ISNUMBER(MATCH(TRIM(C90:L90),Extracted_Parameters!$B:$B,0)))=COUNTA(C90:K90)</f>
        <v>0</v>
      </c>
      <c r="O90" cm="1">
        <f t="array" ref="O90">COUNTA(C90:K90)-SUMPRODUCT(--ISNUMBER(MATCH(C90:K90,Extracted_Parameters!$B:$B,0)))</f>
        <v>3</v>
      </c>
    </row>
    <row r="91" spans="1:15" s="6" customFormat="1" hidden="1" x14ac:dyDescent="0.3">
      <c r="A91" s="30" t="s">
        <v>231</v>
      </c>
      <c r="B91" t="s">
        <v>232</v>
      </c>
      <c r="N91" t="b" cm="1">
        <f t="array" ref="N91">SUMPRODUCT(--ISNUMBER(MATCH(TRIM(C91:L91),Extracted_Parameters!$B:$B,0)))=COUNTA(C91:K91)</f>
        <v>1</v>
      </c>
      <c r="O91" t="s">
        <v>57</v>
      </c>
    </row>
    <row r="92" spans="1:15" s="6" customFormat="1" hidden="1" x14ac:dyDescent="0.3">
      <c r="A92" s="30"/>
      <c r="B92" t="s">
        <v>233</v>
      </c>
      <c r="N92" t="b" cm="1">
        <f t="array" ref="N92">SUMPRODUCT(--ISNUMBER(MATCH(TRIM(C92:L92),Extracted_Parameters!$B:$B,0)))=COUNTA(C92:K92)</f>
        <v>1</v>
      </c>
      <c r="O92" t="s">
        <v>57</v>
      </c>
    </row>
    <row r="93" spans="1:15" s="6" customFormat="1" hidden="1" x14ac:dyDescent="0.3">
      <c r="A93" s="30"/>
      <c r="B93" t="s">
        <v>234</v>
      </c>
      <c r="N93" t="b" cm="1">
        <f t="array" ref="N93">SUMPRODUCT(--ISNUMBER(MATCH(TRIM(C93:L93),Extracted_Parameters!$B:$B,0)))=COUNTA(C93:K93)</f>
        <v>1</v>
      </c>
      <c r="O93" t="s">
        <v>57</v>
      </c>
    </row>
    <row r="94" spans="1:15" hidden="1" x14ac:dyDescent="0.3">
      <c r="A94" s="30"/>
      <c r="B94" t="s">
        <v>235</v>
      </c>
      <c r="C94" t="s">
        <v>50</v>
      </c>
      <c r="D94" t="s">
        <v>37</v>
      </c>
      <c r="E94" t="s">
        <v>236</v>
      </c>
      <c r="F94" t="s">
        <v>40</v>
      </c>
      <c r="G94" t="s">
        <v>237</v>
      </c>
      <c r="H94" t="s">
        <v>238</v>
      </c>
      <c r="N94" t="b" cm="1">
        <f t="array" ref="N94">SUMPRODUCT(--ISNUMBER(MATCH(TRIM(C94:L94),Extracted_Parameters!$B:$B,0)))=COUNTA(C94:K94)</f>
        <v>0</v>
      </c>
      <c r="O94" cm="1">
        <f t="array" ref="O94">COUNTA(C94:K94)-SUMPRODUCT(--ISNUMBER(MATCH(C94:K94,Extracted_Parameters!$B:$B,0)))</f>
        <v>3</v>
      </c>
    </row>
    <row r="95" spans="1:15" hidden="1" x14ac:dyDescent="0.3">
      <c r="A95" s="30"/>
      <c r="B95" t="s">
        <v>239</v>
      </c>
      <c r="C95" t="s">
        <v>50</v>
      </c>
      <c r="D95" t="s">
        <v>37</v>
      </c>
      <c r="E95" t="s">
        <v>236</v>
      </c>
      <c r="F95" t="s">
        <v>40</v>
      </c>
      <c r="G95" t="s">
        <v>238</v>
      </c>
      <c r="N95" t="b" cm="1">
        <f t="array" ref="N95">SUMPRODUCT(--ISNUMBER(MATCH(TRIM(C95:L95),Extracted_Parameters!$B:$B,0)))=COUNTA(C95:K95)</f>
        <v>0</v>
      </c>
      <c r="O95" cm="1">
        <f t="array" ref="O95">COUNTA(C95:K95)-SUMPRODUCT(--ISNUMBER(MATCH(C95:K95,Extracted_Parameters!$B:$B,0)))</f>
        <v>2</v>
      </c>
    </row>
    <row r="96" spans="1:15" x14ac:dyDescent="0.3">
      <c r="A96" s="30"/>
      <c r="B96" t="s">
        <v>240</v>
      </c>
      <c r="C96" t="s">
        <v>50</v>
      </c>
      <c r="D96" t="s">
        <v>37</v>
      </c>
      <c r="E96" t="s">
        <v>66</v>
      </c>
      <c r="F96" t="s">
        <v>4</v>
      </c>
      <c r="G96" t="s">
        <v>14</v>
      </c>
      <c r="N96" t="b" cm="1">
        <f t="array" ref="N96">SUMPRODUCT(--ISNUMBER(MATCH(TRIM(C96:L96),Extracted_Parameters!$B:$B,0)))=COUNTA(C96:K96)</f>
        <v>0</v>
      </c>
      <c r="O96" cm="1">
        <f t="array" ref="O96">COUNTA(C96:K96)-SUMPRODUCT(--ISNUMBER(MATCH(C96:K96,Extracted_Parameters!$B:$B,0)))</f>
        <v>1</v>
      </c>
    </row>
    <row r="97" spans="1:15" hidden="1" x14ac:dyDescent="0.3">
      <c r="A97" s="30"/>
      <c r="B97" t="s">
        <v>241</v>
      </c>
      <c r="C97" t="s">
        <v>50</v>
      </c>
      <c r="D97" t="s">
        <v>37</v>
      </c>
      <c r="E97" t="s">
        <v>66</v>
      </c>
      <c r="F97" t="s">
        <v>242</v>
      </c>
      <c r="G97" t="s">
        <v>4</v>
      </c>
      <c r="H97" t="s">
        <v>14</v>
      </c>
      <c r="N97" t="b" cm="1">
        <f t="array" ref="N97">SUMPRODUCT(--ISNUMBER(MATCH(TRIM(C97:L97),Extracted_Parameters!$B:$B,0)))=COUNTA(C97:K97)</f>
        <v>0</v>
      </c>
      <c r="O97" cm="1">
        <f t="array" ref="O97">COUNTA(C97:K97)-SUMPRODUCT(--ISNUMBER(MATCH(C97:K97,Extracted_Parameters!$B:$B,0)))</f>
        <v>2</v>
      </c>
    </row>
    <row r="98" spans="1:15" x14ac:dyDescent="0.3">
      <c r="A98" s="30"/>
      <c r="B98" t="s">
        <v>243</v>
      </c>
      <c r="C98" t="s">
        <v>50</v>
      </c>
      <c r="D98" t="s">
        <v>111</v>
      </c>
      <c r="E98" t="s">
        <v>158</v>
      </c>
      <c r="N98" t="b" cm="1">
        <f t="array" ref="N98">SUMPRODUCT(--ISNUMBER(MATCH(TRIM(C98:L98),Extracted_Parameters!$B:$B,0)))=COUNTA(C98:K98)</f>
        <v>0</v>
      </c>
      <c r="O98" cm="1">
        <f t="array" ref="O98">COUNTA(C98:K98)-SUMPRODUCT(--ISNUMBER(MATCH(C98:K98,Extracted_Parameters!$B:$B,0)))</f>
        <v>1</v>
      </c>
    </row>
    <row r="99" spans="1:15" hidden="1" x14ac:dyDescent="0.3">
      <c r="A99" s="30"/>
      <c r="B99" t="s">
        <v>244</v>
      </c>
      <c r="C99" t="s">
        <v>50</v>
      </c>
      <c r="D99" t="s">
        <v>158</v>
      </c>
      <c r="E99" t="s">
        <v>37</v>
      </c>
      <c r="F99" t="s">
        <v>25</v>
      </c>
      <c r="N99" t="b" cm="1">
        <f t="array" ref="N99">SUMPRODUCT(--ISNUMBER(MATCH(TRIM(C99:L99),Extracted_Parameters!$B:$B,0)))=COUNTA(C99:K99)</f>
        <v>0</v>
      </c>
      <c r="O99" cm="1">
        <f t="array" ref="O99">COUNTA(C99:K99)-SUMPRODUCT(--ISNUMBER(MATCH(C99:K99,Extracted_Parameters!$B:$B,0)))</f>
        <v>2</v>
      </c>
    </row>
    <row r="100" spans="1:15" x14ac:dyDescent="0.3">
      <c r="A100" s="30"/>
      <c r="B100" t="s">
        <v>245</v>
      </c>
      <c r="C100" t="s">
        <v>50</v>
      </c>
      <c r="D100" t="s">
        <v>111</v>
      </c>
      <c r="E100" t="s">
        <v>158</v>
      </c>
      <c r="N100" t="b" cm="1">
        <f t="array" ref="N100">SUMPRODUCT(--ISNUMBER(MATCH(TRIM(C100:L100),Extracted_Parameters!$B:$B,0)))=COUNTA(C100:K100)</f>
        <v>0</v>
      </c>
      <c r="O100" cm="1">
        <f t="array" ref="O100">COUNTA(C100:K100)-SUMPRODUCT(--ISNUMBER(MATCH(C100:K100,Extracted_Parameters!$B:$B,0)))</f>
        <v>1</v>
      </c>
    </row>
    <row r="101" spans="1:15" s="6" customFormat="1" hidden="1" x14ac:dyDescent="0.3">
      <c r="A101" s="29" t="s">
        <v>246</v>
      </c>
      <c r="B101" t="s">
        <v>247</v>
      </c>
      <c r="N101" t="b" cm="1">
        <f t="array" ref="N101">SUMPRODUCT(--ISNUMBER(MATCH(TRIM(C101:L101),Extracted_Parameters!$B:$B,0)))=COUNTA(C101:K101)</f>
        <v>1</v>
      </c>
      <c r="O101" t="s">
        <v>57</v>
      </c>
    </row>
    <row r="102" spans="1:15" hidden="1" x14ac:dyDescent="0.3">
      <c r="A102" s="29"/>
      <c r="B102" t="s">
        <v>248</v>
      </c>
      <c r="N102" t="b" cm="1">
        <f t="array" ref="N102">SUMPRODUCT(--ISNUMBER(MATCH(TRIM(C102:L102),Extracted_Parameters!$B:$B,0)))=COUNTA(C102:K102)</f>
        <v>1</v>
      </c>
      <c r="O102" cm="1">
        <f t="array" ref="O102">COUNTA(C102:K102)-SUMPRODUCT(--ISNUMBER(MATCH(C102:K102,Extracted_Parameters!$B:$B,0)))</f>
        <v>0</v>
      </c>
    </row>
    <row r="103" spans="1:15" hidden="1" x14ac:dyDescent="0.3">
      <c r="A103" s="29"/>
      <c r="B103" t="s">
        <v>249</v>
      </c>
      <c r="C103" t="s">
        <v>50</v>
      </c>
      <c r="D103" t="s">
        <v>250</v>
      </c>
      <c r="E103" t="s">
        <v>251</v>
      </c>
      <c r="N103" t="b" cm="1">
        <f t="array" ref="N103">SUMPRODUCT(--ISNUMBER(MATCH(TRIM(C103:L103),Extracted_Parameters!$B:$B,0)))=COUNTA(C103:K103)</f>
        <v>0</v>
      </c>
      <c r="O103" cm="1">
        <f t="array" ref="O103">COUNTA(C103:K103)-SUMPRODUCT(--ISNUMBER(MATCH(C103:K103,Extracted_Parameters!$B:$B,0)))</f>
        <v>2</v>
      </c>
    </row>
    <row r="104" spans="1:15" s="6" customFormat="1" hidden="1" x14ac:dyDescent="0.3">
      <c r="A104" s="29"/>
      <c r="B104" t="s">
        <v>252</v>
      </c>
      <c r="N104" t="b" cm="1">
        <f t="array" ref="N104">SUMPRODUCT(--ISNUMBER(MATCH(TRIM(C104:L104),Extracted_Parameters!$B:$B,0)))=COUNTA(C104:K104)</f>
        <v>1</v>
      </c>
      <c r="O104" t="s">
        <v>57</v>
      </c>
    </row>
    <row r="105" spans="1:15" s="6" customFormat="1" hidden="1" x14ac:dyDescent="0.3">
      <c r="A105" s="29"/>
      <c r="B105" t="s">
        <v>252</v>
      </c>
      <c r="N105" t="b" cm="1">
        <f t="array" ref="N105">SUMPRODUCT(--ISNUMBER(MATCH(TRIM(C105:L105),Extracted_Parameters!$B:$B,0)))=COUNTA(C105:K105)</f>
        <v>1</v>
      </c>
      <c r="O105" t="s">
        <v>57</v>
      </c>
    </row>
    <row r="106" spans="1:15" s="6" customFormat="1" hidden="1" x14ac:dyDescent="0.3">
      <c r="A106" s="29"/>
      <c r="B106" t="s">
        <v>252</v>
      </c>
      <c r="N106" t="b" cm="1">
        <f t="array" ref="N106">SUMPRODUCT(--ISNUMBER(MATCH(TRIM(C106:L106),Extracted_Parameters!$B:$B,0)))=COUNTA(C106:K106)</f>
        <v>1</v>
      </c>
      <c r="O106" t="s">
        <v>57</v>
      </c>
    </row>
    <row r="107" spans="1:15" hidden="1" x14ac:dyDescent="0.3">
      <c r="A107" s="29" t="s">
        <v>253</v>
      </c>
      <c r="B107" t="s">
        <v>254</v>
      </c>
      <c r="C107" t="s">
        <v>255</v>
      </c>
      <c r="D107" t="s">
        <v>40</v>
      </c>
      <c r="E107" t="s">
        <v>111</v>
      </c>
      <c r="N107" t="b" cm="1">
        <f t="array" ref="N107">SUMPRODUCT(--ISNUMBER(MATCH(TRIM(C107:L107),Extracted_Parameters!$B:$B,0)))=COUNTA(C107:K107)</f>
        <v>1</v>
      </c>
      <c r="O107" cm="1">
        <f t="array" ref="O107">COUNTA(C107:K107)-SUMPRODUCT(--ISNUMBER(MATCH(C107:K107,Extracted_Parameters!$B:$B,0)))</f>
        <v>0</v>
      </c>
    </row>
    <row r="108" spans="1:15" hidden="1" x14ac:dyDescent="0.3">
      <c r="A108" s="29"/>
      <c r="B108" t="s">
        <v>256</v>
      </c>
      <c r="C108" t="s">
        <v>255</v>
      </c>
      <c r="D108" t="s">
        <v>40</v>
      </c>
      <c r="E108" t="s">
        <v>111</v>
      </c>
      <c r="N108" t="b" cm="1">
        <f t="array" ref="N108">SUMPRODUCT(--ISNUMBER(MATCH(TRIM(C108:L108),Extracted_Parameters!$B:$B,0)))=COUNTA(C108:K108)</f>
        <v>1</v>
      </c>
      <c r="O108" cm="1">
        <f t="array" ref="O108">COUNTA(C108:K108)-SUMPRODUCT(--ISNUMBER(MATCH(C108:K108,Extracted_Parameters!$B:$B,0)))</f>
        <v>0</v>
      </c>
    </row>
    <row r="109" spans="1:15" hidden="1" x14ac:dyDescent="0.3">
      <c r="A109" s="30" t="s">
        <v>257</v>
      </c>
      <c r="B109" t="s">
        <v>258</v>
      </c>
      <c r="C109" t="s">
        <v>255</v>
      </c>
      <c r="D109" t="s">
        <v>40</v>
      </c>
      <c r="E109" t="s">
        <v>50</v>
      </c>
      <c r="N109" t="b" cm="1">
        <f t="array" ref="N109">SUMPRODUCT(--ISNUMBER(MATCH(TRIM(C109:L109),Extracted_Parameters!$B:$B,0)))=COUNTA(C109:K109)</f>
        <v>1</v>
      </c>
      <c r="O109" cm="1">
        <f t="array" ref="O109">COUNTA(C109:K109)-SUMPRODUCT(--ISNUMBER(MATCH(C109:K109,Extracted_Parameters!$B:$B,0)))</f>
        <v>0</v>
      </c>
    </row>
    <row r="110" spans="1:15" hidden="1" x14ac:dyDescent="0.3">
      <c r="A110" s="30"/>
      <c r="B110" t="s">
        <v>259</v>
      </c>
      <c r="C110" t="s">
        <v>40</v>
      </c>
      <c r="D110" t="s">
        <v>260</v>
      </c>
      <c r="E110" t="s">
        <v>261</v>
      </c>
      <c r="F110" t="s">
        <v>242</v>
      </c>
      <c r="G110" t="s">
        <v>111</v>
      </c>
      <c r="N110" t="b" cm="1">
        <f t="array" ref="N110">SUMPRODUCT(--ISNUMBER(MATCH(TRIM(C110:L110),Extracted_Parameters!$B:$B,0)))=COUNTA(C110:K110)</f>
        <v>0</v>
      </c>
      <c r="O110" cm="1">
        <f t="array" ref="O110">COUNTA(C110:K110)-SUMPRODUCT(--ISNUMBER(MATCH(C110:K110,Extracted_Parameters!$B:$B,0)))</f>
        <v>3</v>
      </c>
    </row>
    <row r="111" spans="1:15" x14ac:dyDescent="0.3">
      <c r="A111" s="31" t="s">
        <v>262</v>
      </c>
      <c r="B111" t="s">
        <v>263</v>
      </c>
      <c r="C111" t="s">
        <v>264</v>
      </c>
      <c r="D111" t="s">
        <v>50</v>
      </c>
      <c r="E111" t="s">
        <v>37</v>
      </c>
      <c r="F111" t="s">
        <v>4</v>
      </c>
      <c r="G111" t="s">
        <v>14</v>
      </c>
      <c r="N111" t="b" cm="1">
        <f t="array" ref="N111">SUMPRODUCT(--ISNUMBER(MATCH(TRIM(C111:L111),Extracted_Parameters!$B:$B,0)))=COUNTA(C111:K111)</f>
        <v>0</v>
      </c>
      <c r="O111" cm="1">
        <f t="array" ref="O111">COUNTA(C111:K111)-SUMPRODUCT(--ISNUMBER(MATCH(C111:K111,Extracted_Parameters!$B:$B,0)))</f>
        <v>1</v>
      </c>
    </row>
    <row r="112" spans="1:15" hidden="1" x14ac:dyDescent="0.3">
      <c r="A112" s="31"/>
      <c r="B112" t="s">
        <v>265</v>
      </c>
      <c r="C112" t="s">
        <v>50</v>
      </c>
      <c r="D112" t="s">
        <v>266</v>
      </c>
      <c r="E112" t="s">
        <v>267</v>
      </c>
      <c r="F112" t="s">
        <v>268</v>
      </c>
      <c r="G112" t="s">
        <v>166</v>
      </c>
      <c r="N112" t="b" cm="1">
        <f t="array" ref="N112">SUMPRODUCT(--ISNUMBER(MATCH(TRIM(C112:L112),Extracted_Parameters!$B:$B,0)))=COUNTA(C112:K112)</f>
        <v>0</v>
      </c>
      <c r="O112" cm="1">
        <f t="array" ref="O112">COUNTA(C112:K112)-SUMPRODUCT(--ISNUMBER(MATCH(C112:K112,Extracted_Parameters!$B:$B,0)))</f>
        <v>4</v>
      </c>
    </row>
    <row r="113" spans="1:15" hidden="1" x14ac:dyDescent="0.3">
      <c r="A113" s="30" t="s">
        <v>269</v>
      </c>
      <c r="B113" t="s">
        <v>270</v>
      </c>
      <c r="C113" t="s">
        <v>63</v>
      </c>
      <c r="D113" t="s">
        <v>271</v>
      </c>
      <c r="E113" t="s">
        <v>272</v>
      </c>
      <c r="F113" t="s">
        <v>273</v>
      </c>
      <c r="G113" t="s">
        <v>40</v>
      </c>
      <c r="H113" t="s">
        <v>111</v>
      </c>
      <c r="N113" t="b" cm="1">
        <f t="array" ref="N113">SUMPRODUCT(--ISNUMBER(MATCH(TRIM(C113:L113),Extracted_Parameters!$B:$B,0)))=COUNTA(C113:K113)</f>
        <v>0</v>
      </c>
      <c r="O113" cm="1">
        <f t="array" ref="O113">COUNTA(C113:K113)-SUMPRODUCT(--ISNUMBER(MATCH(C113:K113,Extracted_Parameters!$B:$B,0)))</f>
        <v>4</v>
      </c>
    </row>
    <row r="114" spans="1:15" hidden="1" x14ac:dyDescent="0.3">
      <c r="A114" s="30"/>
      <c r="B114" t="s">
        <v>274</v>
      </c>
      <c r="C114" t="s">
        <v>275</v>
      </c>
      <c r="D114" t="s">
        <v>276</v>
      </c>
      <c r="E114" t="s">
        <v>277</v>
      </c>
      <c r="F114" t="s">
        <v>278</v>
      </c>
      <c r="G114" t="s">
        <v>279</v>
      </c>
      <c r="N114" t="b" cm="1">
        <f t="array" ref="N114">SUMPRODUCT(--ISNUMBER(MATCH(TRIM(C114:L114),Extracted_Parameters!$B:$B,0)))=COUNTA(C114:K114)</f>
        <v>0</v>
      </c>
      <c r="O114" cm="1">
        <f t="array" ref="O114">COUNTA(C114:K114)-SUMPRODUCT(--ISNUMBER(MATCH(C114:K114,Extracted_Parameters!$B:$B,0)))</f>
        <v>5</v>
      </c>
    </row>
    <row r="115" spans="1:15" hidden="1" x14ac:dyDescent="0.3">
      <c r="A115" s="30"/>
      <c r="B115" t="s">
        <v>280</v>
      </c>
      <c r="C115" t="s">
        <v>281</v>
      </c>
      <c r="D115" t="s">
        <v>282</v>
      </c>
      <c r="E115" t="s">
        <v>283</v>
      </c>
      <c r="F115" t="s">
        <v>284</v>
      </c>
      <c r="N115" t="b" cm="1">
        <f t="array" ref="N115">SUMPRODUCT(--ISNUMBER(MATCH(TRIM(C115:L115),Extracted_Parameters!$B:$B,0)))=COUNTA(C115:K115)</f>
        <v>0</v>
      </c>
      <c r="O115" cm="1">
        <f t="array" ref="O115">COUNTA(C115:K115)-SUMPRODUCT(--ISNUMBER(MATCH(C115:K115,Extracted_Parameters!$B:$B,0)))</f>
        <v>4</v>
      </c>
    </row>
    <row r="116" spans="1:15" s="6" customFormat="1" hidden="1" x14ac:dyDescent="0.3">
      <c r="A116" s="30"/>
      <c r="B116" t="s">
        <v>285</v>
      </c>
      <c r="N116" t="b" cm="1">
        <f t="array" ref="N116">SUMPRODUCT(--ISNUMBER(MATCH(TRIM(C116:L116),Extracted_Parameters!$B:$B,0)))=COUNTA(C116:K116)</f>
        <v>1</v>
      </c>
      <c r="O116" t="s">
        <v>57</v>
      </c>
    </row>
    <row r="117" spans="1:15" hidden="1" x14ac:dyDescent="0.3">
      <c r="A117" s="29" t="s">
        <v>286</v>
      </c>
      <c r="B117" t="s">
        <v>287</v>
      </c>
      <c r="C117" t="s">
        <v>63</v>
      </c>
      <c r="D117" t="s">
        <v>50</v>
      </c>
      <c r="E117" t="s">
        <v>14</v>
      </c>
      <c r="F117" t="s">
        <v>4</v>
      </c>
      <c r="G117" t="s">
        <v>288</v>
      </c>
      <c r="H117" t="s">
        <v>289</v>
      </c>
      <c r="N117" t="b" cm="1">
        <f t="array" ref="N117">SUMPRODUCT(--ISNUMBER(MATCH(TRIM(C117:L117),Extracted_Parameters!$B:$B,0)))=COUNTA(C117:K117)</f>
        <v>0</v>
      </c>
      <c r="O117" cm="1">
        <f t="array" ref="O117">COUNTA(C117:K117)-SUMPRODUCT(--ISNUMBER(MATCH(C117:K117,Extracted_Parameters!$B:$B,0)))</f>
        <v>3</v>
      </c>
    </row>
    <row r="118" spans="1:15" hidden="1" x14ac:dyDescent="0.3">
      <c r="A118" s="29"/>
      <c r="B118" t="s">
        <v>290</v>
      </c>
      <c r="C118" t="s">
        <v>63</v>
      </c>
      <c r="D118" t="s">
        <v>50</v>
      </c>
      <c r="E118" t="s">
        <v>291</v>
      </c>
      <c r="F118" t="s">
        <v>40</v>
      </c>
      <c r="N118" t="b" cm="1">
        <f t="array" ref="N118">SUMPRODUCT(--ISNUMBER(MATCH(TRIM(C118:L118),Extracted_Parameters!$B:$B,0)))=COUNTA(C118:K118)</f>
        <v>0</v>
      </c>
      <c r="O118" cm="1">
        <f t="array" ref="O118">COUNTA(C118:K118)-SUMPRODUCT(--ISNUMBER(MATCH(C118:K118,Extracted_Parameters!$B:$B,0)))</f>
        <v>2</v>
      </c>
    </row>
    <row r="119" spans="1:15" hidden="1" x14ac:dyDescent="0.3">
      <c r="A119" s="29"/>
      <c r="B119" t="s">
        <v>292</v>
      </c>
      <c r="C119" t="s">
        <v>63</v>
      </c>
      <c r="D119" t="s">
        <v>50</v>
      </c>
      <c r="E119" t="s">
        <v>291</v>
      </c>
      <c r="N119" t="b" cm="1">
        <f t="array" ref="N119">SUMPRODUCT(--ISNUMBER(MATCH(TRIM(C119:L119),Extracted_Parameters!$B:$B,0)))=COUNTA(C119:K119)</f>
        <v>0</v>
      </c>
      <c r="O119" cm="1">
        <f t="array" ref="O119">COUNTA(C119:K119)-SUMPRODUCT(--ISNUMBER(MATCH(C119:K119,Extracted_Parameters!$B:$B,0)))</f>
        <v>2</v>
      </c>
    </row>
    <row r="120" spans="1:15" hidden="1" x14ac:dyDescent="0.3">
      <c r="A120" s="29"/>
      <c r="B120" t="s">
        <v>293</v>
      </c>
      <c r="C120" t="s">
        <v>63</v>
      </c>
      <c r="D120" t="s">
        <v>50</v>
      </c>
      <c r="E120" t="s">
        <v>572</v>
      </c>
      <c r="F120" t="s">
        <v>295</v>
      </c>
      <c r="N120" t="b" cm="1">
        <f t="array" ref="N120">SUMPRODUCT(--ISNUMBER(MATCH(TRIM(C120:L120),Extracted_Parameters!$B:$B,0)))=COUNTA(C120:K120)</f>
        <v>0</v>
      </c>
      <c r="O120" cm="1">
        <f t="array" ref="O120">COUNTA(C120:K120)-SUMPRODUCT(--ISNUMBER(MATCH(C120:K120,Extracted_Parameters!$B:$B,0)))</f>
        <v>3</v>
      </c>
    </row>
    <row r="121" spans="1:15" hidden="1" x14ac:dyDescent="0.3">
      <c r="A121" s="29" t="s">
        <v>296</v>
      </c>
      <c r="B121" t="s">
        <v>297</v>
      </c>
      <c r="C121" t="s">
        <v>63</v>
      </c>
      <c r="D121" t="s">
        <v>50</v>
      </c>
      <c r="E121" t="s">
        <v>298</v>
      </c>
      <c r="N121" t="b" cm="1">
        <f t="array" ref="N121">SUMPRODUCT(--ISNUMBER(MATCH(TRIM(C121:L121),Extracted_Parameters!$B:$B,0)))=COUNTA(C121:K121)</f>
        <v>0</v>
      </c>
      <c r="O121" cm="1">
        <f t="array" ref="O121">COUNTA(C121:K121)-SUMPRODUCT(--ISNUMBER(MATCH(C121:K121,Extracted_Parameters!$B:$B,0)))</f>
        <v>2</v>
      </c>
    </row>
    <row r="122" spans="1:15" hidden="1" x14ac:dyDescent="0.3">
      <c r="A122" s="29"/>
      <c r="B122" t="s">
        <v>299</v>
      </c>
      <c r="C122" t="s">
        <v>63</v>
      </c>
      <c r="D122" t="s">
        <v>300</v>
      </c>
      <c r="E122" t="s">
        <v>40</v>
      </c>
      <c r="F122" t="s">
        <v>111</v>
      </c>
      <c r="G122" t="s">
        <v>14</v>
      </c>
      <c r="H122" t="s">
        <v>301</v>
      </c>
      <c r="I122" t="s">
        <v>37</v>
      </c>
      <c r="J122" t="s">
        <v>302</v>
      </c>
      <c r="K122" t="s">
        <v>303</v>
      </c>
      <c r="N122" t="b" cm="1">
        <f t="array" ref="N122">SUMPRODUCT(--ISNUMBER(MATCH(TRIM(C122:L122),Extracted_Parameters!$B:$B,0)))=COUNTA(C122:K122)</f>
        <v>0</v>
      </c>
      <c r="O122" cm="1">
        <f t="array" ref="O122">COUNTA(C122:K122)-SUMPRODUCT(--ISNUMBER(MATCH(C122:K122,Extracted_Parameters!$B:$B,0)))</f>
        <v>4</v>
      </c>
    </row>
    <row r="123" spans="1:15" hidden="1" x14ac:dyDescent="0.3">
      <c r="A123" s="29"/>
      <c r="B123" t="s">
        <v>304</v>
      </c>
      <c r="C123" t="s">
        <v>63</v>
      </c>
      <c r="D123" t="s">
        <v>25</v>
      </c>
      <c r="E123" t="s">
        <v>14</v>
      </c>
      <c r="F123" t="s">
        <v>40</v>
      </c>
      <c r="G123" t="s">
        <v>111</v>
      </c>
      <c r="H123" t="s">
        <v>301</v>
      </c>
      <c r="I123" t="s">
        <v>37</v>
      </c>
      <c r="J123" t="s">
        <v>302</v>
      </c>
      <c r="K123" t="s">
        <v>303</v>
      </c>
      <c r="N123" t="b" cm="1">
        <f t="array" ref="N123">SUMPRODUCT(--ISNUMBER(MATCH(TRIM(C123:L123),Extracted_Parameters!$B:$B,0)))=COUNTA(C123:K123)</f>
        <v>0</v>
      </c>
      <c r="O123" cm="1">
        <f t="array" ref="O123">COUNTA(C123:K123)-SUMPRODUCT(--ISNUMBER(MATCH(C123:K123,Extracted_Parameters!$B:$B,0)))</f>
        <v>4</v>
      </c>
    </row>
    <row r="124" spans="1:15" hidden="1" x14ac:dyDescent="0.3">
      <c r="A124" s="29" t="s">
        <v>305</v>
      </c>
      <c r="B124" t="s">
        <v>306</v>
      </c>
      <c r="C124" t="s">
        <v>307</v>
      </c>
      <c r="D124" t="s">
        <v>50</v>
      </c>
      <c r="E124" t="s">
        <v>4</v>
      </c>
      <c r="F124" t="s">
        <v>40</v>
      </c>
      <c r="G124" t="s">
        <v>14</v>
      </c>
      <c r="H124" t="s">
        <v>37</v>
      </c>
      <c r="I124" t="s">
        <v>308</v>
      </c>
      <c r="N124" t="b" cm="1">
        <f t="array" ref="N124">SUMPRODUCT(--ISNUMBER(MATCH(TRIM(C124:L124),Extracted_Parameters!$B:$B,0)))=COUNTA(C124:K124)</f>
        <v>0</v>
      </c>
      <c r="O124" cm="1">
        <f t="array" ref="O124">COUNTA(C124:K124)-SUMPRODUCT(--ISNUMBER(MATCH(C124:K124,Extracted_Parameters!$B:$B,0)))</f>
        <v>2</v>
      </c>
    </row>
    <row r="125" spans="1:15" hidden="1" x14ac:dyDescent="0.3">
      <c r="A125" s="29"/>
      <c r="B125" t="s">
        <v>309</v>
      </c>
      <c r="C125" t="s">
        <v>63</v>
      </c>
      <c r="D125" t="s">
        <v>50</v>
      </c>
      <c r="E125" t="s">
        <v>310</v>
      </c>
      <c r="F125" t="s">
        <v>4</v>
      </c>
      <c r="G125" t="s">
        <v>14</v>
      </c>
      <c r="N125" t="b" cm="1">
        <f t="array" ref="N125">SUMPRODUCT(--ISNUMBER(MATCH(TRIM(C125:L125),Extracted_Parameters!$B:$B,0)))=COUNTA(C125:K125)</f>
        <v>0</v>
      </c>
      <c r="O125" cm="1">
        <f t="array" ref="O125">COUNTA(C125:K125)-SUMPRODUCT(--ISNUMBER(MATCH(C125:K125,Extracted_Parameters!$B:$B,0)))</f>
        <v>2</v>
      </c>
    </row>
    <row r="126" spans="1:15" x14ac:dyDescent="0.3">
      <c r="A126" s="29"/>
      <c r="B126" t="s">
        <v>311</v>
      </c>
      <c r="C126" t="s">
        <v>25</v>
      </c>
      <c r="D126" t="s">
        <v>40</v>
      </c>
      <c r="E126" t="s">
        <v>37</v>
      </c>
      <c r="F126" t="s">
        <v>14</v>
      </c>
      <c r="G126" t="s">
        <v>4</v>
      </c>
      <c r="N126" t="b" cm="1">
        <f t="array" ref="N126">SUMPRODUCT(--ISNUMBER(MATCH(TRIM(C126:L126),Extracted_Parameters!$B:$B,0)))=COUNTA(C126:K126)</f>
        <v>0</v>
      </c>
      <c r="O126" cm="1">
        <f t="array" ref="O126">COUNTA(C126:K126)-SUMPRODUCT(--ISNUMBER(MATCH(C126:K126,Extracted_Parameters!$B:$B,0)))</f>
        <v>1</v>
      </c>
    </row>
    <row r="127" spans="1:15" x14ac:dyDescent="0.3">
      <c r="A127" s="29"/>
      <c r="B127" t="s">
        <v>312</v>
      </c>
      <c r="C127" t="s">
        <v>50</v>
      </c>
      <c r="D127" t="s">
        <v>40</v>
      </c>
      <c r="E127" t="s">
        <v>24</v>
      </c>
      <c r="F127" t="s">
        <v>63</v>
      </c>
      <c r="N127" t="b" cm="1">
        <f t="array" ref="N127">SUMPRODUCT(--ISNUMBER(MATCH(TRIM(C127:L127),Extracted_Parameters!$B:$B,0)))=COUNTA(C127:K127)</f>
        <v>0</v>
      </c>
      <c r="O127" cm="1">
        <f t="array" ref="O127">COUNTA(C127:K127)-SUMPRODUCT(--ISNUMBER(MATCH(C127:K127,Extracted_Parameters!$B:$B,0)))</f>
        <v>1</v>
      </c>
    </row>
    <row r="128" spans="1:15" x14ac:dyDescent="0.3">
      <c r="A128" s="29"/>
      <c r="B128" t="s">
        <v>313</v>
      </c>
      <c r="C128" t="s">
        <v>37</v>
      </c>
      <c r="D128" t="s">
        <v>50</v>
      </c>
      <c r="E128" t="s">
        <v>4</v>
      </c>
      <c r="F128" t="s">
        <v>14</v>
      </c>
      <c r="G128" t="s">
        <v>40</v>
      </c>
      <c r="H128" t="s">
        <v>314</v>
      </c>
      <c r="N128" t="b" cm="1">
        <f t="array" ref="N128">SUMPRODUCT(--ISNUMBER(MATCH(TRIM(C128:L128),Extracted_Parameters!$B:$B,0)))=COUNTA(C128:K128)</f>
        <v>0</v>
      </c>
      <c r="O128" cm="1">
        <f t="array" ref="O128">COUNTA(C128:K128)-SUMPRODUCT(--ISNUMBER(MATCH(C128:K128,Extracted_Parameters!$B:$B,0)))</f>
        <v>1</v>
      </c>
    </row>
    <row r="129" spans="1:15" x14ac:dyDescent="0.3">
      <c r="A129" s="29"/>
      <c r="B129" t="s">
        <v>315</v>
      </c>
      <c r="C129" t="s">
        <v>50</v>
      </c>
      <c r="D129" t="s">
        <v>40</v>
      </c>
      <c r="E129" t="s">
        <v>24</v>
      </c>
      <c r="F129" t="s">
        <v>111</v>
      </c>
      <c r="G129" s="6" t="s">
        <v>316</v>
      </c>
      <c r="N129" t="b" cm="1">
        <f t="array" ref="N129">SUMPRODUCT(--ISNUMBER(MATCH(TRIM(C129:L129),Extracted_Parameters!$B:$B,0)))=COUNTA(C129:K129)</f>
        <v>0</v>
      </c>
      <c r="O129" cm="1">
        <f t="array" ref="O129">COUNTA(C129:K129)-SUMPRODUCT(--ISNUMBER(MATCH(C129:K129,Extracted_Parameters!$B:$B,0)))</f>
        <v>1</v>
      </c>
    </row>
    <row r="130" spans="1:15" x14ac:dyDescent="0.3">
      <c r="A130" s="29"/>
      <c r="B130" t="s">
        <v>317</v>
      </c>
      <c r="C130" t="s">
        <v>318</v>
      </c>
      <c r="D130" t="s">
        <v>37</v>
      </c>
      <c r="E130" t="s">
        <v>4</v>
      </c>
      <c r="F130" t="s">
        <v>14</v>
      </c>
      <c r="N130" t="b" cm="1">
        <f t="array" ref="N130">SUMPRODUCT(--ISNUMBER(MATCH(TRIM(C130:L130),Extracted_Parameters!$B:$B,0)))=COUNTA(C130:K130)</f>
        <v>0</v>
      </c>
      <c r="O130" cm="1">
        <f t="array" ref="O130">COUNTA(C130:K130)-SUMPRODUCT(--ISNUMBER(MATCH(C130:K130,Extracted_Parameters!$B:$B,0)))</f>
        <v>1</v>
      </c>
    </row>
    <row r="131" spans="1:15" x14ac:dyDescent="0.3">
      <c r="A131" s="29"/>
      <c r="B131" t="s">
        <v>319</v>
      </c>
      <c r="C131" t="s">
        <v>63</v>
      </c>
      <c r="D131" t="s">
        <v>50</v>
      </c>
      <c r="E131" t="s">
        <v>40</v>
      </c>
      <c r="F131" t="s">
        <v>111</v>
      </c>
      <c r="N131" t="b" cm="1">
        <f t="array" ref="N131">SUMPRODUCT(--ISNUMBER(MATCH(TRIM(C131:L131),Extracted_Parameters!$B:$B,0)))=COUNTA(C131:K131)</f>
        <v>0</v>
      </c>
      <c r="O131" cm="1">
        <f t="array" ref="O131">COUNTA(C131:K131)-SUMPRODUCT(--ISNUMBER(MATCH(C131:K131,Extracted_Parameters!$B:$B,0)))</f>
        <v>1</v>
      </c>
    </row>
    <row r="132" spans="1:15" hidden="1" x14ac:dyDescent="0.3">
      <c r="A132" s="29"/>
      <c r="B132" t="s">
        <v>320</v>
      </c>
      <c r="C132" t="s">
        <v>63</v>
      </c>
      <c r="D132" t="s">
        <v>50</v>
      </c>
      <c r="E132" t="s">
        <v>4</v>
      </c>
      <c r="F132" t="s">
        <v>14</v>
      </c>
      <c r="G132" t="s">
        <v>288</v>
      </c>
      <c r="H132" t="s">
        <v>321</v>
      </c>
      <c r="N132" t="b" cm="1">
        <f t="array" ref="N132">SUMPRODUCT(--ISNUMBER(MATCH(TRIM(C132:L132),Extracted_Parameters!$B:$B,0)))=COUNTA(C132:K132)</f>
        <v>0</v>
      </c>
      <c r="O132" cm="1">
        <f t="array" ref="O132">COUNTA(C132:K132)-SUMPRODUCT(--ISNUMBER(MATCH(C132:K132,Extracted_Parameters!$B:$B,0)))</f>
        <v>3</v>
      </c>
    </row>
    <row r="133" spans="1:15" hidden="1" x14ac:dyDescent="0.3">
      <c r="A133" s="29"/>
      <c r="B133" t="s">
        <v>322</v>
      </c>
      <c r="C133" t="s">
        <v>63</v>
      </c>
      <c r="D133" t="s">
        <v>50</v>
      </c>
      <c r="E133" t="s">
        <v>4</v>
      </c>
      <c r="F133" t="s">
        <v>14</v>
      </c>
      <c r="G133" t="s">
        <v>288</v>
      </c>
      <c r="H133" t="s">
        <v>321</v>
      </c>
      <c r="N133" t="b" cm="1">
        <f t="array" ref="N133">SUMPRODUCT(--ISNUMBER(MATCH(TRIM(C133:L133),Extracted_Parameters!$B:$B,0)))=COUNTA(C133:K133)</f>
        <v>0</v>
      </c>
      <c r="O133" cm="1">
        <f t="array" ref="O133">COUNTA(C133:K133)-SUMPRODUCT(--ISNUMBER(MATCH(C133:K133,Extracted_Parameters!$B:$B,0)))</f>
        <v>3</v>
      </c>
    </row>
    <row r="134" spans="1:15" x14ac:dyDescent="0.3">
      <c r="A134" s="29"/>
      <c r="B134" t="s">
        <v>323</v>
      </c>
      <c r="C134" t="s">
        <v>63</v>
      </c>
      <c r="D134" t="s">
        <v>50</v>
      </c>
      <c r="E134" t="s">
        <v>4</v>
      </c>
      <c r="F134" t="s">
        <v>14</v>
      </c>
      <c r="G134" t="s">
        <v>37</v>
      </c>
      <c r="N134" t="b" cm="1">
        <f t="array" ref="N134">SUMPRODUCT(--ISNUMBER(MATCH(TRIM(C134:L134),Extracted_Parameters!$B:$B,0)))=COUNTA(C134:K134)</f>
        <v>0</v>
      </c>
      <c r="O134" cm="1">
        <f t="array" ref="O134">COUNTA(C134:K134)-SUMPRODUCT(--ISNUMBER(MATCH(C134:K134,Extracted_Parameters!$B:$B,0)))</f>
        <v>1</v>
      </c>
    </row>
    <row r="135" spans="1:15" s="6" customFormat="1" ht="16.2" hidden="1" customHeight="1" x14ac:dyDescent="0.3">
      <c r="A135" s="8" t="s">
        <v>324</v>
      </c>
      <c r="B135" t="s">
        <v>325</v>
      </c>
      <c r="N135" t="b" cm="1">
        <f t="array" ref="N135">SUMPRODUCT(--ISNUMBER(MATCH(TRIM(C135:L135),Extracted_Parameters!$B:$B,0)))=COUNTA(C135:K135)</f>
        <v>1</v>
      </c>
      <c r="O135" t="s">
        <v>57</v>
      </c>
    </row>
    <row r="136" spans="1:15" s="6" customFormat="1" hidden="1" x14ac:dyDescent="0.3">
      <c r="A136"/>
      <c r="B136" t="s">
        <v>326</v>
      </c>
      <c r="N136" t="b" cm="1">
        <f t="array" ref="N136">SUMPRODUCT(--ISNUMBER(MATCH(TRIM(C136:L136),Extracted_Parameters!$B:$B,0)))=COUNTA(C136:K136)</f>
        <v>1</v>
      </c>
      <c r="O136" t="s">
        <v>57</v>
      </c>
    </row>
    <row r="137" spans="1:15" s="6" customFormat="1" hidden="1" x14ac:dyDescent="0.3">
      <c r="A137"/>
      <c r="B137" t="s">
        <v>327</v>
      </c>
      <c r="N137" t="b" cm="1">
        <f t="array" ref="N137">SUMPRODUCT(--ISNUMBER(MATCH(TRIM(C137:L137),Extracted_Parameters!$B:$B,0)))=COUNTA(C137:K137)</f>
        <v>1</v>
      </c>
      <c r="O137" t="s">
        <v>57</v>
      </c>
    </row>
    <row r="138" spans="1:15" hidden="1" x14ac:dyDescent="0.3">
      <c r="A138" s="30" t="s">
        <v>328</v>
      </c>
      <c r="B138" t="s">
        <v>329</v>
      </c>
      <c r="C138" t="s">
        <v>158</v>
      </c>
      <c r="D138" t="s">
        <v>50</v>
      </c>
      <c r="E138" t="s">
        <v>4</v>
      </c>
      <c r="F138" t="s">
        <v>14</v>
      </c>
      <c r="G138" t="s">
        <v>45</v>
      </c>
      <c r="H138" t="s">
        <v>330</v>
      </c>
      <c r="I138" t="s">
        <v>331</v>
      </c>
      <c r="N138" t="b" cm="1">
        <f t="array" ref="N138">SUMPRODUCT(--ISNUMBER(MATCH(TRIM(C138:L138),Extracted_Parameters!$B:$B,0)))=COUNTA(C138:K138)</f>
        <v>0</v>
      </c>
      <c r="O138" cm="1">
        <f t="array" ref="O138">COUNTA(C138:K138)-SUMPRODUCT(--ISNUMBER(MATCH(C138:K138,Extracted_Parameters!$B:$B,0)))</f>
        <v>3</v>
      </c>
    </row>
    <row r="139" spans="1:15" s="5" customFormat="1" hidden="1" x14ac:dyDescent="0.3">
      <c r="A139" s="30"/>
      <c r="B139" s="19" t="s">
        <v>332</v>
      </c>
      <c r="N139" t="b" cm="1">
        <f t="array" ref="N139">SUMPRODUCT(--ISNUMBER(MATCH(TRIM(C139:L139),Extracted_Parameters!$B:$B,0)))=COUNTA(C139:K139)</f>
        <v>1</v>
      </c>
      <c r="O139" t="s">
        <v>57</v>
      </c>
    </row>
    <row r="140" spans="1:15" hidden="1" x14ac:dyDescent="0.3">
      <c r="A140" s="30"/>
      <c r="B140" t="s">
        <v>333</v>
      </c>
      <c r="C140" t="s">
        <v>50</v>
      </c>
      <c r="D140" t="s">
        <v>37</v>
      </c>
      <c r="E140" t="s">
        <v>334</v>
      </c>
      <c r="F140" t="s">
        <v>40</v>
      </c>
      <c r="G140" t="s">
        <v>4</v>
      </c>
      <c r="H140" t="s">
        <v>14</v>
      </c>
      <c r="I140" t="s">
        <v>45</v>
      </c>
      <c r="J140" t="s">
        <v>568</v>
      </c>
      <c r="N140" t="b" cm="1">
        <f t="array" ref="N140">SUMPRODUCT(--ISNUMBER(MATCH(TRIM(C140:L140),Extracted_Parameters!$B:$B,0)))=COUNTA(C140:K140)</f>
        <v>0</v>
      </c>
      <c r="O140" cm="1">
        <f t="array" ref="O140">COUNTA(C140:K140)-SUMPRODUCT(--ISNUMBER(MATCH(C140:K140,Extracted_Parameters!$B:$B,0)))</f>
        <v>2</v>
      </c>
    </row>
    <row r="141" spans="1:15" hidden="1" x14ac:dyDescent="0.3">
      <c r="A141" s="30"/>
      <c r="B141" t="s">
        <v>336</v>
      </c>
      <c r="C141" t="s">
        <v>50</v>
      </c>
      <c r="D141" t="s">
        <v>37</v>
      </c>
      <c r="E141" t="s">
        <v>334</v>
      </c>
      <c r="F141" t="s">
        <v>40</v>
      </c>
      <c r="G141" t="s">
        <v>4</v>
      </c>
      <c r="H141" t="s">
        <v>14</v>
      </c>
      <c r="I141" t="s">
        <v>45</v>
      </c>
      <c r="J141" t="s">
        <v>568</v>
      </c>
      <c r="N141" t="b" cm="1">
        <f t="array" ref="N141">SUMPRODUCT(--ISNUMBER(MATCH(TRIM(C141:L141),Extracted_Parameters!$B:$B,0)))=COUNTA(C141:K141)</f>
        <v>0</v>
      </c>
      <c r="O141" cm="1">
        <f t="array" ref="O141">COUNTA(C141:K141)-SUMPRODUCT(--ISNUMBER(MATCH(C141:K141,Extracted_Parameters!$B:$B,0)))</f>
        <v>2</v>
      </c>
    </row>
    <row r="142" spans="1:15" hidden="1" x14ac:dyDescent="0.3">
      <c r="A142" s="30"/>
      <c r="B142" t="s">
        <v>337</v>
      </c>
      <c r="C142" t="s">
        <v>50</v>
      </c>
      <c r="D142" t="s">
        <v>37</v>
      </c>
      <c r="E142" t="s">
        <v>334</v>
      </c>
      <c r="F142" t="s">
        <v>40</v>
      </c>
      <c r="G142" t="s">
        <v>4</v>
      </c>
      <c r="H142" t="s">
        <v>14</v>
      </c>
      <c r="I142" t="s">
        <v>45</v>
      </c>
      <c r="J142" t="s">
        <v>568</v>
      </c>
      <c r="N142" t="b" cm="1">
        <f t="array" ref="N142">SUMPRODUCT(--ISNUMBER(MATCH(TRIM(C142:L142),Extracted_Parameters!$B:$B,0)))=COUNTA(C142:K142)</f>
        <v>0</v>
      </c>
      <c r="O142" cm="1">
        <f t="array" ref="O142">COUNTA(C142:K142)-SUMPRODUCT(--ISNUMBER(MATCH(C142:K142,Extracted_Parameters!$B:$B,0)))</f>
        <v>2</v>
      </c>
    </row>
    <row r="143" spans="1:15" hidden="1" x14ac:dyDescent="0.3">
      <c r="A143" s="30"/>
      <c r="B143" t="s">
        <v>338</v>
      </c>
      <c r="C143" t="s">
        <v>50</v>
      </c>
      <c r="D143" t="s">
        <v>37</v>
      </c>
      <c r="E143" t="s">
        <v>334</v>
      </c>
      <c r="F143" t="s">
        <v>40</v>
      </c>
      <c r="G143" t="s">
        <v>4</v>
      </c>
      <c r="H143" t="s">
        <v>14</v>
      </c>
      <c r="I143" t="s">
        <v>45</v>
      </c>
      <c r="J143" t="s">
        <v>568</v>
      </c>
      <c r="N143" t="b" cm="1">
        <f t="array" ref="N143">SUMPRODUCT(--ISNUMBER(MATCH(TRIM(C143:L143),Extracted_Parameters!$B:$B,0)))=COUNTA(C143:K143)</f>
        <v>0</v>
      </c>
      <c r="O143" cm="1">
        <f t="array" ref="O143">COUNTA(C143:K143)-SUMPRODUCT(--ISNUMBER(MATCH(C143:K143,Extracted_Parameters!$B:$B,0)))</f>
        <v>2</v>
      </c>
    </row>
    <row r="144" spans="1:15" hidden="1" x14ac:dyDescent="0.3">
      <c r="A144" s="30"/>
      <c r="B144" t="s">
        <v>339</v>
      </c>
      <c r="C144" t="s">
        <v>255</v>
      </c>
      <c r="D144" t="s">
        <v>50</v>
      </c>
      <c r="E144" t="s">
        <v>111</v>
      </c>
      <c r="N144" t="b" cm="1">
        <f t="array" ref="N144">SUMPRODUCT(--ISNUMBER(MATCH(TRIM(C144:L144),Extracted_Parameters!$B:$B,0)))=COUNTA(C144:K144)</f>
        <v>1</v>
      </c>
      <c r="O144" cm="1">
        <f t="array" ref="O144">COUNTA(C144:K144)-SUMPRODUCT(--ISNUMBER(MATCH(C144:K144,Extracted_Parameters!$B:$B,0)))</f>
        <v>0</v>
      </c>
    </row>
    <row r="145" spans="1:15" hidden="1" x14ac:dyDescent="0.3">
      <c r="A145" s="29" t="s">
        <v>340</v>
      </c>
      <c r="B145" t="s">
        <v>341</v>
      </c>
      <c r="C145" t="s">
        <v>342</v>
      </c>
      <c r="D145" t="s">
        <v>50</v>
      </c>
      <c r="E145" t="s">
        <v>343</v>
      </c>
      <c r="F145" t="s">
        <v>344</v>
      </c>
      <c r="G145" t="s">
        <v>111</v>
      </c>
      <c r="H145" t="s">
        <v>40</v>
      </c>
      <c r="I145" t="s">
        <v>345</v>
      </c>
      <c r="J145" t="s">
        <v>346</v>
      </c>
      <c r="K145" t="s">
        <v>347</v>
      </c>
      <c r="N145" t="b" cm="1">
        <f t="array" ref="N145">SUMPRODUCT(--ISNUMBER(MATCH(TRIM(C145:L145),Extracted_Parameters!$B:$B,0)))=COUNTA(C145:K145)</f>
        <v>0</v>
      </c>
      <c r="O145" cm="1">
        <f t="array" ref="O145">COUNTA(C145:K145)-SUMPRODUCT(--ISNUMBER(MATCH(C145:K145,Extracted_Parameters!$B:$B,0)))</f>
        <v>5</v>
      </c>
    </row>
    <row r="146" spans="1:15" hidden="1" x14ac:dyDescent="0.3">
      <c r="A146" s="29"/>
      <c r="B146" t="s">
        <v>348</v>
      </c>
      <c r="C146" t="s">
        <v>40</v>
      </c>
      <c r="D146" t="s">
        <v>14</v>
      </c>
      <c r="E146" t="s">
        <v>4</v>
      </c>
      <c r="F146" t="s">
        <v>37</v>
      </c>
      <c r="G146" t="s">
        <v>50</v>
      </c>
      <c r="N146" t="b" cm="1">
        <f t="array" ref="N146">SUMPRODUCT(--ISNUMBER(MATCH(TRIM(C146:L146),Extracted_Parameters!$B:$B,0)))=COUNTA(C146:K146)</f>
        <v>1</v>
      </c>
      <c r="O146" cm="1">
        <f t="array" ref="O146">COUNTA(C146:K146)-SUMPRODUCT(--ISNUMBER(MATCH(C146:K146,Extracted_Parameters!$B:$B,0)))</f>
        <v>0</v>
      </c>
    </row>
    <row r="147" spans="1:15" hidden="1" x14ac:dyDescent="0.3">
      <c r="A147" s="29"/>
      <c r="B147" t="s">
        <v>349</v>
      </c>
      <c r="C147" t="s">
        <v>350</v>
      </c>
      <c r="D147" t="s">
        <v>50</v>
      </c>
      <c r="E147" t="s">
        <v>40</v>
      </c>
      <c r="F147" t="s">
        <v>111</v>
      </c>
      <c r="G147" t="s">
        <v>37</v>
      </c>
      <c r="N147" t="b" cm="1">
        <f t="array" ref="N147">SUMPRODUCT(--ISNUMBER(MATCH(TRIM(C147:L147),Extracted_Parameters!$B:$B,0)))=COUNTA(C147:K147)</f>
        <v>1</v>
      </c>
      <c r="O147" cm="1">
        <f t="array" ref="O147">COUNTA(C147:K147)-SUMPRODUCT(--ISNUMBER(MATCH(C147:K147,Extracted_Parameters!$B:$B,0)))</f>
        <v>0</v>
      </c>
    </row>
    <row r="148" spans="1:15" s="5" customFormat="1" ht="15" hidden="1" thickBot="1" x14ac:dyDescent="0.35">
      <c r="A148" s="29"/>
      <c r="B148" s="20" t="s">
        <v>351</v>
      </c>
      <c r="N148" t="b" cm="1">
        <f t="array" ref="N148">SUMPRODUCT(--ISNUMBER(MATCH(TRIM(C148:L148),Extracted_Parameters!$B:$B,0)))=COUNTA(C148:K148)</f>
        <v>1</v>
      </c>
      <c r="O148" t="s">
        <v>57</v>
      </c>
    </row>
    <row r="149" spans="1:15" x14ac:dyDescent="0.3">
      <c r="A149" s="29" t="s">
        <v>352</v>
      </c>
      <c r="B149" t="s">
        <v>353</v>
      </c>
      <c r="C149" t="s">
        <v>50</v>
      </c>
      <c r="D149" t="s">
        <v>40</v>
      </c>
      <c r="E149" t="s">
        <v>111</v>
      </c>
      <c r="F149" t="s">
        <v>217</v>
      </c>
      <c r="G149" t="s">
        <v>354</v>
      </c>
      <c r="N149" t="b" cm="1">
        <f t="array" ref="N149">SUMPRODUCT(--ISNUMBER(MATCH(TRIM(C149:L149),Extracted_Parameters!$B:$B,0)))=COUNTA(C149:K149)</f>
        <v>0</v>
      </c>
      <c r="O149" cm="1">
        <f t="array" ref="O149">COUNTA(C149:K149)-SUMPRODUCT(--ISNUMBER(MATCH(C149:K149,Extracted_Parameters!$B:$B,0)))</f>
        <v>1</v>
      </c>
    </row>
    <row r="150" spans="1:15" hidden="1" x14ac:dyDescent="0.3">
      <c r="A150" s="29"/>
      <c r="B150" t="s">
        <v>355</v>
      </c>
      <c r="C150" t="s">
        <v>111</v>
      </c>
      <c r="D150" t="s">
        <v>40</v>
      </c>
      <c r="E150" t="s">
        <v>356</v>
      </c>
      <c r="F150" t="s">
        <v>357</v>
      </c>
      <c r="G150" t="s">
        <v>358</v>
      </c>
      <c r="H150" t="s">
        <v>50</v>
      </c>
      <c r="I150" t="s">
        <v>359</v>
      </c>
      <c r="N150" t="b" cm="1">
        <f t="array" ref="N150">SUMPRODUCT(--ISNUMBER(MATCH(TRIM(C150:L150),Extracted_Parameters!$B:$B,0)))=COUNTA(C150:K150)</f>
        <v>0</v>
      </c>
      <c r="O150" cm="1">
        <f t="array" ref="O150">COUNTA(C150:K150)-SUMPRODUCT(--ISNUMBER(MATCH(C150:K150,Extracted_Parameters!$B:$B,0)))</f>
        <v>3</v>
      </c>
    </row>
    <row r="151" spans="1:15" x14ac:dyDescent="0.3">
      <c r="A151" s="29"/>
      <c r="B151" t="s">
        <v>360</v>
      </c>
      <c r="C151" t="s">
        <v>40</v>
      </c>
      <c r="D151" t="s">
        <v>111</v>
      </c>
      <c r="E151" t="s">
        <v>50</v>
      </c>
      <c r="F151" t="s">
        <v>361</v>
      </c>
      <c r="N151" t="b" cm="1">
        <f t="array" ref="N151">SUMPRODUCT(--ISNUMBER(MATCH(TRIM(C151:L151),Extracted_Parameters!$B:$B,0)))=COUNTA(C151:K151)</f>
        <v>0</v>
      </c>
      <c r="O151" cm="1">
        <f t="array" ref="O151">COUNTA(C151:K151)-SUMPRODUCT(--ISNUMBER(MATCH(C151:K151,Extracted_Parameters!$B:$B,0)))</f>
        <v>1</v>
      </c>
    </row>
    <row r="152" spans="1:15" x14ac:dyDescent="0.3">
      <c r="A152" s="29"/>
      <c r="B152" t="s">
        <v>362</v>
      </c>
      <c r="C152" t="s">
        <v>111</v>
      </c>
      <c r="D152" t="s">
        <v>363</v>
      </c>
      <c r="E152" t="s">
        <v>40</v>
      </c>
      <c r="F152" t="s">
        <v>50</v>
      </c>
      <c r="N152" t="b" cm="1">
        <f t="array" ref="N152">SUMPRODUCT(--ISNUMBER(MATCH(TRIM(C152:L152),Extracted_Parameters!$B:$B,0)))=COUNTA(C152:K152)</f>
        <v>0</v>
      </c>
      <c r="O152" cm="1">
        <f t="array" ref="O152">COUNTA(C152:K152)-SUMPRODUCT(--ISNUMBER(MATCH(C152:K152,Extracted_Parameters!$B:$B,0)))</f>
        <v>1</v>
      </c>
    </row>
    <row r="153" spans="1:15" x14ac:dyDescent="0.3">
      <c r="A153" s="29"/>
      <c r="B153" t="s">
        <v>364</v>
      </c>
      <c r="C153" t="s">
        <v>50</v>
      </c>
      <c r="D153" t="s">
        <v>365</v>
      </c>
      <c r="E153" t="s">
        <v>40</v>
      </c>
      <c r="N153" t="b" cm="1">
        <f t="array" ref="N153">SUMPRODUCT(--ISNUMBER(MATCH(TRIM(C153:L153),Extracted_Parameters!$B:$B,0)))=COUNTA(C153:K153)</f>
        <v>0</v>
      </c>
      <c r="O153" cm="1">
        <f t="array" ref="O153">COUNTA(C153:K153)-SUMPRODUCT(--ISNUMBER(MATCH(C153:K153,Extracted_Parameters!$B:$B,0)))</f>
        <v>1</v>
      </c>
    </row>
    <row r="154" spans="1:15" hidden="1" x14ac:dyDescent="0.3">
      <c r="A154" s="29"/>
      <c r="B154" t="s">
        <v>366</v>
      </c>
      <c r="C154" t="s">
        <v>50</v>
      </c>
      <c r="D154" t="s">
        <v>40</v>
      </c>
      <c r="E154" t="s">
        <v>111</v>
      </c>
      <c r="F154" t="s">
        <v>367</v>
      </c>
      <c r="G154" t="s">
        <v>197</v>
      </c>
      <c r="N154" t="b" cm="1">
        <f t="array" ref="N154">SUMPRODUCT(--ISNUMBER(MATCH(TRIM(C154:L154),Extracted_Parameters!$B:$B,0)))=COUNTA(C154:K154)</f>
        <v>0</v>
      </c>
      <c r="O154" cm="1">
        <f t="array" ref="O154">COUNTA(C154:K154)-SUMPRODUCT(--ISNUMBER(MATCH(C154:K154,Extracted_Parameters!$B:$B,0)))</f>
        <v>2</v>
      </c>
    </row>
    <row r="155" spans="1:15" hidden="1" x14ac:dyDescent="0.3">
      <c r="A155" s="29"/>
      <c r="B155" t="s">
        <v>368</v>
      </c>
      <c r="C155" t="s">
        <v>50</v>
      </c>
      <c r="D155" t="s">
        <v>40</v>
      </c>
      <c r="E155" t="s">
        <v>356</v>
      </c>
      <c r="N155" t="b" cm="1">
        <f t="array" ref="N155">SUMPRODUCT(--ISNUMBER(MATCH(TRIM(C155:L155),Extracted_Parameters!$B:$B,0)))=COUNTA(C155:K155)</f>
        <v>1</v>
      </c>
      <c r="O155" cm="1">
        <f t="array" ref="O155">COUNTA(C155:K155)-SUMPRODUCT(--ISNUMBER(MATCH(C155:K155,Extracted_Parameters!$B:$B,0)))</f>
        <v>0</v>
      </c>
    </row>
    <row r="156" spans="1:15" hidden="1" x14ac:dyDescent="0.3">
      <c r="A156" s="29"/>
      <c r="B156" t="s">
        <v>369</v>
      </c>
      <c r="C156" t="s">
        <v>356</v>
      </c>
      <c r="D156" t="s">
        <v>111</v>
      </c>
      <c r="E156" t="s">
        <v>370</v>
      </c>
      <c r="F156" t="s">
        <v>50</v>
      </c>
      <c r="G156" t="s">
        <v>14</v>
      </c>
      <c r="H156" t="s">
        <v>344</v>
      </c>
      <c r="I156" t="s">
        <v>371</v>
      </c>
      <c r="J156" t="s">
        <v>372</v>
      </c>
      <c r="N156" t="b" cm="1">
        <f t="array" ref="N156">SUMPRODUCT(--ISNUMBER(MATCH(TRIM(C156:L156),Extracted_Parameters!$B:$B,0)))=COUNTA(C156:K156)</f>
        <v>0</v>
      </c>
      <c r="O156" cm="1">
        <f t="array" ref="O156">COUNTA(C156:K156)-SUMPRODUCT(--ISNUMBER(MATCH(C156:K156,Extracted_Parameters!$B:$B,0)))</f>
        <v>3</v>
      </c>
    </row>
    <row r="157" spans="1:15" hidden="1" x14ac:dyDescent="0.3">
      <c r="A157" s="29"/>
      <c r="B157" t="s">
        <v>373</v>
      </c>
      <c r="C157" t="s">
        <v>356</v>
      </c>
      <c r="D157" t="s">
        <v>111</v>
      </c>
      <c r="E157" t="s">
        <v>370</v>
      </c>
      <c r="F157" t="s">
        <v>50</v>
      </c>
      <c r="G157" t="s">
        <v>14</v>
      </c>
      <c r="H157" t="s">
        <v>344</v>
      </c>
      <c r="N157" t="b" cm="1">
        <f t="array" ref="N157">SUMPRODUCT(--ISNUMBER(MATCH(TRIM(C157:L157),Extracted_Parameters!$B:$B,0)))=COUNTA(C157:K157)</f>
        <v>0</v>
      </c>
      <c r="O157" cm="1">
        <f t="array" ref="O157">COUNTA(C157:K157)-SUMPRODUCT(--ISNUMBER(MATCH(C157:K157,Extracted_Parameters!$B:$B,0)))</f>
        <v>2</v>
      </c>
    </row>
    <row r="158" spans="1:15" hidden="1" x14ac:dyDescent="0.3">
      <c r="A158" s="29"/>
      <c r="B158" t="s">
        <v>374</v>
      </c>
      <c r="C158" t="s">
        <v>50</v>
      </c>
      <c r="D158" t="s">
        <v>375</v>
      </c>
      <c r="E158" t="s">
        <v>111</v>
      </c>
      <c r="F158" t="s">
        <v>376</v>
      </c>
      <c r="G158" t="s">
        <v>356</v>
      </c>
      <c r="N158" t="b" cm="1">
        <f t="array" ref="N158">SUMPRODUCT(--ISNUMBER(MATCH(TRIM(C158:L158),Extracted_Parameters!$B:$B,0)))=COUNTA(C158:K158)</f>
        <v>0</v>
      </c>
      <c r="O158" cm="1">
        <f t="array" ref="O158">COUNTA(C158:K158)-SUMPRODUCT(--ISNUMBER(MATCH(C158:K158,Extracted_Parameters!$B:$B,0)))</f>
        <v>2</v>
      </c>
    </row>
    <row r="159" spans="1:15" hidden="1" x14ac:dyDescent="0.3">
      <c r="A159" s="29"/>
      <c r="B159" t="s">
        <v>377</v>
      </c>
      <c r="C159" t="s">
        <v>50</v>
      </c>
      <c r="D159" t="s">
        <v>40</v>
      </c>
      <c r="E159" t="s">
        <v>111</v>
      </c>
      <c r="F159" t="s">
        <v>217</v>
      </c>
      <c r="N159" t="b" cm="1">
        <f t="array" ref="N159">SUMPRODUCT(--ISNUMBER(MATCH(TRIM(C159:L159),Extracted_Parameters!$B:$B,0)))=COUNTA(C159:K159)</f>
        <v>1</v>
      </c>
      <c r="O159" cm="1">
        <f t="array" ref="O159">COUNTA(C159:K159)-SUMPRODUCT(--ISNUMBER(MATCH(C159:K159,Extracted_Parameters!$B:$B,0)))</f>
        <v>0</v>
      </c>
    </row>
    <row r="160" spans="1:15" hidden="1" x14ac:dyDescent="0.3">
      <c r="A160" s="29"/>
      <c r="B160" t="s">
        <v>378</v>
      </c>
      <c r="C160" t="s">
        <v>50</v>
      </c>
      <c r="D160" t="s">
        <v>37</v>
      </c>
      <c r="E160" t="s">
        <v>14</v>
      </c>
      <c r="N160" t="b" cm="1">
        <f t="array" ref="N160">SUMPRODUCT(--ISNUMBER(MATCH(TRIM(C160:L160),Extracted_Parameters!$B:$B,0)))=COUNTA(C160:K160)</f>
        <v>1</v>
      </c>
      <c r="O160" cm="1">
        <f t="array" ref="O160">COUNTA(C160:K160)-SUMPRODUCT(--ISNUMBER(MATCH(C160:K160,Extracted_Parameters!$B:$B,0)))</f>
        <v>0</v>
      </c>
    </row>
    <row r="161" spans="1:15" hidden="1" x14ac:dyDescent="0.3">
      <c r="A161" s="29"/>
      <c r="B161" t="s">
        <v>379</v>
      </c>
      <c r="C161" t="s">
        <v>40</v>
      </c>
      <c r="N161" t="b" cm="1">
        <f t="array" ref="N161">SUMPRODUCT(--ISNUMBER(MATCH(TRIM(C161:L161),Extracted_Parameters!$B:$B,0)))=COUNTA(C161:K161)</f>
        <v>1</v>
      </c>
      <c r="O161" cm="1">
        <f t="array" ref="O161">COUNTA(C161:K161)-SUMPRODUCT(--ISNUMBER(MATCH(C161:K161,Extracted_Parameters!$B:$B,0)))</f>
        <v>0</v>
      </c>
    </row>
    <row r="162" spans="1:15" hidden="1" x14ac:dyDescent="0.3">
      <c r="A162" s="29" t="s">
        <v>380</v>
      </c>
      <c r="B162" t="s">
        <v>381</v>
      </c>
      <c r="C162" t="s">
        <v>350</v>
      </c>
      <c r="D162" t="s">
        <v>111</v>
      </c>
      <c r="N162" t="b" cm="1">
        <f t="array" ref="N162">SUMPRODUCT(--ISNUMBER(MATCH(TRIM(C162:L162),Extracted_Parameters!$B:$B,0)))=COUNTA(C162:K162)</f>
        <v>1</v>
      </c>
      <c r="O162" cm="1">
        <f t="array" ref="O162">COUNTA(C162:K162)-SUMPRODUCT(--ISNUMBER(MATCH(C162:K162,Extracted_Parameters!$B:$B,0)))</f>
        <v>0</v>
      </c>
    </row>
    <row r="163" spans="1:15" hidden="1" x14ac:dyDescent="0.3">
      <c r="A163" s="29"/>
      <c r="B163" t="s">
        <v>382</v>
      </c>
      <c r="C163" t="s">
        <v>37</v>
      </c>
      <c r="D163" t="s">
        <v>14</v>
      </c>
      <c r="E163" t="s">
        <v>4</v>
      </c>
      <c r="F163" t="s">
        <v>50</v>
      </c>
      <c r="N163" t="b" cm="1">
        <f t="array" ref="N163">SUMPRODUCT(--ISNUMBER(MATCH(TRIM(C163:L163),Extracted_Parameters!$B:$B,0)))=COUNTA(C163:K163)</f>
        <v>1</v>
      </c>
      <c r="O163" cm="1">
        <f t="array" ref="O163">COUNTA(C163:K163)-SUMPRODUCT(--ISNUMBER(MATCH(C163:K163,Extracted_Parameters!$B:$B,0)))</f>
        <v>0</v>
      </c>
    </row>
    <row r="164" spans="1:15" hidden="1" x14ac:dyDescent="0.3">
      <c r="A164" s="29"/>
      <c r="B164" t="s">
        <v>383</v>
      </c>
      <c r="C164" t="s">
        <v>37</v>
      </c>
      <c r="D164" t="s">
        <v>384</v>
      </c>
      <c r="E164" t="s">
        <v>111</v>
      </c>
      <c r="N164" t="b" cm="1">
        <f t="array" ref="N164">SUMPRODUCT(--ISNUMBER(MATCH(TRIM(C164:L164),Extracted_Parameters!$B:$B,0)))=COUNTA(C164:K164)</f>
        <v>1</v>
      </c>
      <c r="O164" cm="1">
        <f t="array" ref="O164">COUNTA(C164:K164)-SUMPRODUCT(--ISNUMBER(MATCH(C164:K164,Extracted_Parameters!$B:$B,0)))</f>
        <v>0</v>
      </c>
    </row>
    <row r="165" spans="1:15" x14ac:dyDescent="0.3">
      <c r="A165" s="29"/>
      <c r="B165" t="s">
        <v>385</v>
      </c>
      <c r="C165" t="s">
        <v>37</v>
      </c>
      <c r="D165" t="s">
        <v>50</v>
      </c>
      <c r="E165" t="s">
        <v>14</v>
      </c>
      <c r="F165" t="s">
        <v>4</v>
      </c>
      <c r="G165" t="s">
        <v>386</v>
      </c>
      <c r="H165" t="s">
        <v>45</v>
      </c>
      <c r="I165" t="s">
        <v>40</v>
      </c>
      <c r="N165" t="b" cm="1">
        <f t="array" ref="N165">SUMPRODUCT(--ISNUMBER(MATCH(TRIM(C165:L165),Extracted_Parameters!$B:$B,0)))=COUNTA(C165:K165)</f>
        <v>0</v>
      </c>
      <c r="O165" cm="1">
        <f t="array" ref="O165">COUNTA(C165:K165)-SUMPRODUCT(--ISNUMBER(MATCH(C165:K165,Extracted_Parameters!$B:$B,0)))</f>
        <v>1</v>
      </c>
    </row>
    <row r="166" spans="1:15" s="5" customFormat="1" hidden="1" x14ac:dyDescent="0.3">
      <c r="A166" s="29"/>
      <c r="B166" t="s">
        <v>387</v>
      </c>
      <c r="N166" t="b" cm="1">
        <f t="array" ref="N166">SUMPRODUCT(--ISNUMBER(MATCH(TRIM(C166:L166),Extracted_Parameters!$B:$B,0)))=COUNTA(C166:K166)</f>
        <v>1</v>
      </c>
      <c r="O166" t="s">
        <v>57</v>
      </c>
    </row>
    <row r="167" spans="1:15" x14ac:dyDescent="0.3">
      <c r="A167" s="29"/>
      <c r="B167" t="s">
        <v>388</v>
      </c>
      <c r="C167" t="s">
        <v>37</v>
      </c>
      <c r="D167" t="s">
        <v>50</v>
      </c>
      <c r="E167" t="s">
        <v>14</v>
      </c>
      <c r="F167" t="s">
        <v>4</v>
      </c>
      <c r="G167" t="s">
        <v>386</v>
      </c>
      <c r="H167" t="s">
        <v>40</v>
      </c>
      <c r="N167" t="b" cm="1">
        <f t="array" ref="N167">SUMPRODUCT(--ISNUMBER(MATCH(TRIM(C167:L167),Extracted_Parameters!$B:$B,0)))=COUNTA(C167:K167)</f>
        <v>0</v>
      </c>
      <c r="O167" cm="1">
        <f t="array" ref="O167">COUNTA(C167:K167)-SUMPRODUCT(--ISNUMBER(MATCH(C167:K167,Extracted_Parameters!$B:$B,0)))</f>
        <v>1</v>
      </c>
    </row>
    <row r="168" spans="1:15" x14ac:dyDescent="0.3">
      <c r="A168" s="29"/>
      <c r="B168" t="s">
        <v>389</v>
      </c>
      <c r="C168" t="s">
        <v>37</v>
      </c>
      <c r="D168" t="s">
        <v>50</v>
      </c>
      <c r="E168" t="s">
        <v>14</v>
      </c>
      <c r="F168" t="s">
        <v>4</v>
      </c>
      <c r="G168" t="s">
        <v>386</v>
      </c>
      <c r="H168" t="s">
        <v>45</v>
      </c>
      <c r="I168" t="s">
        <v>40</v>
      </c>
      <c r="N168" t="b" cm="1">
        <f t="array" ref="N168">SUMPRODUCT(--ISNUMBER(MATCH(TRIM(C168:L168),Extracted_Parameters!$B:$B,0)))=COUNTA(C168:K168)</f>
        <v>0</v>
      </c>
      <c r="O168" cm="1">
        <f t="array" ref="O168">COUNTA(C168:K168)-SUMPRODUCT(--ISNUMBER(MATCH(C168:K168,Extracted_Parameters!$B:$B,0)))</f>
        <v>1</v>
      </c>
    </row>
    <row r="169" spans="1:15" hidden="1" x14ac:dyDescent="0.3">
      <c r="A169" s="29"/>
      <c r="B169" t="s">
        <v>390</v>
      </c>
      <c r="C169" t="s">
        <v>37</v>
      </c>
      <c r="D169" t="s">
        <v>111</v>
      </c>
      <c r="E169" t="s">
        <v>14</v>
      </c>
      <c r="F169" t="s">
        <v>40</v>
      </c>
      <c r="G169" t="s">
        <v>4</v>
      </c>
      <c r="H169" t="s">
        <v>50</v>
      </c>
      <c r="N169" t="b" cm="1">
        <f t="array" ref="N169">SUMPRODUCT(--ISNUMBER(MATCH(TRIM(C169:L169),Extracted_Parameters!$B:$B,0)))=COUNTA(C169:K169)</f>
        <v>1</v>
      </c>
      <c r="O169" cm="1">
        <f t="array" ref="O169">COUNTA(C169:K169)-SUMPRODUCT(--ISNUMBER(MATCH(C169:K169,Extracted_Parameters!$B:$B,0)))</f>
        <v>0</v>
      </c>
    </row>
    <row r="170" spans="1:15" x14ac:dyDescent="0.3">
      <c r="A170" s="29"/>
      <c r="B170" t="s">
        <v>391</v>
      </c>
      <c r="C170" t="s">
        <v>37</v>
      </c>
      <c r="D170" t="s">
        <v>14</v>
      </c>
      <c r="E170" t="s">
        <v>4</v>
      </c>
      <c r="F170" t="s">
        <v>40</v>
      </c>
      <c r="G170" t="s">
        <v>50</v>
      </c>
      <c r="H170" t="s">
        <v>392</v>
      </c>
      <c r="I170" t="s">
        <v>386</v>
      </c>
      <c r="N170" t="b" cm="1">
        <f t="array" ref="N170">SUMPRODUCT(--ISNUMBER(MATCH(TRIM(C170:L170),Extracted_Parameters!$B:$B,0)))=COUNTA(C170:K170)</f>
        <v>0</v>
      </c>
      <c r="O170" cm="1">
        <f t="array" ref="O170">COUNTA(C170:K170)-SUMPRODUCT(--ISNUMBER(MATCH(C170:K170,Extracted_Parameters!$B:$B,0)))</f>
        <v>1</v>
      </c>
    </row>
    <row r="171" spans="1:15" hidden="1" x14ac:dyDescent="0.3">
      <c r="A171" s="29"/>
      <c r="B171" t="s">
        <v>393</v>
      </c>
      <c r="C171" t="s">
        <v>37</v>
      </c>
      <c r="D171" t="s">
        <v>50</v>
      </c>
      <c r="E171" t="s">
        <v>111</v>
      </c>
      <c r="F171" t="s">
        <v>14</v>
      </c>
      <c r="G171" t="s">
        <v>4</v>
      </c>
      <c r="N171" t="b" cm="1">
        <f t="array" ref="N171">SUMPRODUCT(--ISNUMBER(MATCH(TRIM(C171:L171),Extracted_Parameters!$B:$B,0)))=COUNTA(C171:K171)</f>
        <v>1</v>
      </c>
      <c r="O171" cm="1">
        <f t="array" ref="O171">COUNTA(C171:K171)-SUMPRODUCT(--ISNUMBER(MATCH(C171:K171,Extracted_Parameters!$B:$B,0)))</f>
        <v>0</v>
      </c>
    </row>
    <row r="172" spans="1:15" x14ac:dyDescent="0.3">
      <c r="A172" s="29"/>
      <c r="B172" t="s">
        <v>394</v>
      </c>
      <c r="C172" t="s">
        <v>111</v>
      </c>
      <c r="D172" t="s">
        <v>40</v>
      </c>
      <c r="E172" t="s">
        <v>37</v>
      </c>
      <c r="F172" t="s">
        <v>14</v>
      </c>
      <c r="G172" t="s">
        <v>4</v>
      </c>
      <c r="H172" t="s">
        <v>386</v>
      </c>
      <c r="I172" t="s">
        <v>50</v>
      </c>
      <c r="N172" t="b" cm="1">
        <f t="array" ref="N172">SUMPRODUCT(--ISNUMBER(MATCH(TRIM(C172:L172),Extracted_Parameters!$B:$B,0)))=COUNTA(C172:K172)</f>
        <v>0</v>
      </c>
      <c r="O172" cm="1">
        <f t="array" ref="O172">COUNTA(C172:K172)-SUMPRODUCT(--ISNUMBER(MATCH(C172:K172,Extracted_Parameters!$B:$B,0)))</f>
        <v>1</v>
      </c>
    </row>
    <row r="173" spans="1:15" hidden="1" x14ac:dyDescent="0.3">
      <c r="A173" s="29"/>
      <c r="B173" t="s">
        <v>395</v>
      </c>
      <c r="C173" t="s">
        <v>396</v>
      </c>
      <c r="D173" t="s">
        <v>37</v>
      </c>
      <c r="E173" t="s">
        <v>50</v>
      </c>
      <c r="F173" t="s">
        <v>130</v>
      </c>
      <c r="G173" t="s">
        <v>14</v>
      </c>
      <c r="H173" t="s">
        <v>111</v>
      </c>
      <c r="I173" t="s">
        <v>4</v>
      </c>
      <c r="J173" t="s">
        <v>40</v>
      </c>
      <c r="N173" t="b" cm="1">
        <f t="array" ref="N173">SUMPRODUCT(--ISNUMBER(MATCH(TRIM(C173:L173),Extracted_Parameters!$B:$B,0)))=COUNTA(C173:K173)</f>
        <v>0</v>
      </c>
      <c r="O173" cm="1">
        <f t="array" ref="O173">COUNTA(C173:K173)-SUMPRODUCT(--ISNUMBER(MATCH(C173:K173,Extracted_Parameters!$B:$B,0)))</f>
        <v>2</v>
      </c>
    </row>
    <row r="174" spans="1:15" hidden="1" x14ac:dyDescent="0.3">
      <c r="A174" s="29"/>
      <c r="B174" t="s">
        <v>397</v>
      </c>
      <c r="C174" t="s">
        <v>37</v>
      </c>
      <c r="D174" t="s">
        <v>40</v>
      </c>
      <c r="E174" t="s">
        <v>14</v>
      </c>
      <c r="F174" t="s">
        <v>4</v>
      </c>
      <c r="G174" t="s">
        <v>45</v>
      </c>
      <c r="N174" t="b" cm="1">
        <f t="array" ref="N174">SUMPRODUCT(--ISNUMBER(MATCH(TRIM(C174:L174),Extracted_Parameters!$B:$B,0)))=COUNTA(C174:K174)</f>
        <v>1</v>
      </c>
      <c r="O174" cm="1">
        <f t="array" ref="O174">COUNTA(C174:K174)-SUMPRODUCT(--ISNUMBER(MATCH(C174:K174,Extracted_Parameters!$B:$B,0)))</f>
        <v>0</v>
      </c>
    </row>
    <row r="175" spans="1:15" hidden="1" x14ac:dyDescent="0.3">
      <c r="A175" s="29"/>
      <c r="B175" t="s">
        <v>398</v>
      </c>
      <c r="C175" t="s">
        <v>37</v>
      </c>
      <c r="D175" t="s">
        <v>111</v>
      </c>
      <c r="E175" t="s">
        <v>40</v>
      </c>
      <c r="F175" t="s">
        <v>14</v>
      </c>
      <c r="G175" t="s">
        <v>4</v>
      </c>
      <c r="H175" t="s">
        <v>50</v>
      </c>
      <c r="I175" t="s">
        <v>45</v>
      </c>
      <c r="N175" t="b" cm="1">
        <f t="array" ref="N175">SUMPRODUCT(--ISNUMBER(MATCH(TRIM(C175:L175),Extracted_Parameters!$B:$B,0)))=COUNTA(C175:K175)</f>
        <v>1</v>
      </c>
      <c r="O175" cm="1">
        <f t="array" ref="O175">COUNTA(C175:K175)-SUMPRODUCT(--ISNUMBER(MATCH(C175:K175,Extracted_Parameters!$B:$B,0)))</f>
        <v>0</v>
      </c>
    </row>
    <row r="176" spans="1:15" hidden="1" x14ac:dyDescent="0.3">
      <c r="A176" s="29"/>
      <c r="B176" t="s">
        <v>399</v>
      </c>
      <c r="C176" t="s">
        <v>37</v>
      </c>
      <c r="D176" t="s">
        <v>40</v>
      </c>
      <c r="E176" t="s">
        <v>14</v>
      </c>
      <c r="F176" t="s">
        <v>4</v>
      </c>
      <c r="G176" t="s">
        <v>45</v>
      </c>
      <c r="H176" t="s">
        <v>50</v>
      </c>
      <c r="N176" t="b" cm="1">
        <f t="array" ref="N176">SUMPRODUCT(--ISNUMBER(MATCH(TRIM(C176:L176),Extracted_Parameters!$B:$B,0)))=COUNTA(C176:K176)</f>
        <v>1</v>
      </c>
      <c r="O176" cm="1">
        <f t="array" ref="O176">COUNTA(C176:K176)-SUMPRODUCT(--ISNUMBER(MATCH(C176:K176,Extracted_Parameters!$B:$B,0)))</f>
        <v>0</v>
      </c>
    </row>
    <row r="177" spans="1:15" hidden="1" x14ac:dyDescent="0.3">
      <c r="A177" s="29"/>
      <c r="B177" t="s">
        <v>400</v>
      </c>
      <c r="C177" t="s">
        <v>45</v>
      </c>
      <c r="D177" t="s">
        <v>14</v>
      </c>
      <c r="E177" t="s">
        <v>50</v>
      </c>
      <c r="F177" t="s">
        <v>37</v>
      </c>
      <c r="G177" t="s">
        <v>40</v>
      </c>
      <c r="N177" t="b" cm="1">
        <f t="array" ref="N177">SUMPRODUCT(--ISNUMBER(MATCH(TRIM(C177:L177),Extracted_Parameters!$B:$B,0)))=COUNTA(C177:K177)</f>
        <v>1</v>
      </c>
      <c r="O177" cm="1">
        <f t="array" ref="O177">COUNTA(C177:K177)-SUMPRODUCT(--ISNUMBER(MATCH(C177:K177,Extracted_Parameters!$B:$B,0)))</f>
        <v>0</v>
      </c>
    </row>
    <row r="178" spans="1:15" hidden="1" x14ac:dyDescent="0.3">
      <c r="A178" s="29"/>
      <c r="B178" t="s">
        <v>401</v>
      </c>
      <c r="C178" t="s">
        <v>50</v>
      </c>
      <c r="D178" t="s">
        <v>14</v>
      </c>
      <c r="E178" t="s">
        <v>4</v>
      </c>
      <c r="F178" t="s">
        <v>40</v>
      </c>
      <c r="N178" t="b" cm="1">
        <f t="array" ref="N178">SUMPRODUCT(--ISNUMBER(MATCH(TRIM(C178:L178),Extracted_Parameters!$B:$B,0)))=COUNTA(C178:K178)</f>
        <v>1</v>
      </c>
      <c r="O178" cm="1">
        <f t="array" ref="O178">COUNTA(C178:K178)-SUMPRODUCT(--ISNUMBER(MATCH(C178:K178,Extracted_Parameters!$B:$B,0)))</f>
        <v>0</v>
      </c>
    </row>
    <row r="179" spans="1:15" ht="14.4" hidden="1" customHeight="1" x14ac:dyDescent="0.3">
      <c r="A179" s="29" t="s">
        <v>402</v>
      </c>
      <c r="B179" t="s">
        <v>403</v>
      </c>
      <c r="C179" t="s">
        <v>50</v>
      </c>
      <c r="D179" t="s">
        <v>40</v>
      </c>
      <c r="E179" t="s">
        <v>111</v>
      </c>
      <c r="F179" t="s">
        <v>4</v>
      </c>
      <c r="G179" t="s">
        <v>14</v>
      </c>
      <c r="H179" t="s">
        <v>37</v>
      </c>
      <c r="N179" t="b" cm="1">
        <f t="array" ref="N179">SUMPRODUCT(--ISNUMBER(MATCH(TRIM(C179:L179),Extracted_Parameters!$B:$B,0)))=COUNTA(C179:K179)</f>
        <v>1</v>
      </c>
      <c r="O179" cm="1">
        <f t="array" ref="O179">COUNTA(C179:K179)-SUMPRODUCT(--ISNUMBER(MATCH(C179:K179,Extracted_Parameters!$B:$B,0)))</f>
        <v>0</v>
      </c>
    </row>
    <row r="180" spans="1:15" ht="14.4" hidden="1" customHeight="1" x14ac:dyDescent="0.3">
      <c r="A180" s="29"/>
      <c r="B180" t="s">
        <v>404</v>
      </c>
      <c r="C180" t="s">
        <v>50</v>
      </c>
      <c r="D180" t="s">
        <v>40</v>
      </c>
      <c r="E180" t="s">
        <v>111</v>
      </c>
      <c r="F180" t="s">
        <v>4</v>
      </c>
      <c r="G180" t="s">
        <v>14</v>
      </c>
      <c r="H180" t="s">
        <v>37</v>
      </c>
      <c r="N180" t="b" cm="1">
        <f t="array" ref="N180">SUMPRODUCT(--ISNUMBER(MATCH(TRIM(C180:L180),Extracted_Parameters!$B:$B,0)))=COUNTA(C180:K180)</f>
        <v>1</v>
      </c>
      <c r="O180" cm="1">
        <f t="array" ref="O180">COUNTA(C180:K180)-SUMPRODUCT(--ISNUMBER(MATCH(C180:K180,Extracted_Parameters!$B:$B,0)))</f>
        <v>0</v>
      </c>
    </row>
    <row r="181" spans="1:15" ht="14.4" hidden="1" customHeight="1" x14ac:dyDescent="0.3">
      <c r="A181" s="29"/>
      <c r="B181" t="s">
        <v>405</v>
      </c>
      <c r="C181" t="s">
        <v>111</v>
      </c>
      <c r="D181" t="s">
        <v>40</v>
      </c>
      <c r="E181" t="s">
        <v>37</v>
      </c>
      <c r="F181" t="s">
        <v>50</v>
      </c>
      <c r="N181" t="b" cm="1">
        <f t="array" ref="N181">SUMPRODUCT(--ISNUMBER(MATCH(TRIM(C181:L181),Extracted_Parameters!$B:$B,0)))=COUNTA(C181:K181)</f>
        <v>1</v>
      </c>
      <c r="O181" cm="1">
        <f t="array" ref="O181">COUNTA(C181:K181)-SUMPRODUCT(--ISNUMBER(MATCH(C181:K181,Extracted_Parameters!$B:$B,0)))</f>
        <v>0</v>
      </c>
    </row>
    <row r="182" spans="1:15" ht="14.4" hidden="1" customHeight="1" x14ac:dyDescent="0.3">
      <c r="A182" s="29"/>
      <c r="B182" t="s">
        <v>406</v>
      </c>
      <c r="C182" t="s">
        <v>37</v>
      </c>
      <c r="D182" t="s">
        <v>14</v>
      </c>
      <c r="E182" t="s">
        <v>4</v>
      </c>
      <c r="F182" t="s">
        <v>40</v>
      </c>
      <c r="G182" t="s">
        <v>50</v>
      </c>
      <c r="N182" t="b" cm="1">
        <f t="array" ref="N182">SUMPRODUCT(--ISNUMBER(MATCH(TRIM(C182:L182),Extracted_Parameters!$B:$B,0)))=COUNTA(C182:K182)</f>
        <v>1</v>
      </c>
      <c r="O182" cm="1">
        <f t="array" ref="O182">COUNTA(C182:K182)-SUMPRODUCT(--ISNUMBER(MATCH(C182:K182,Extracted_Parameters!$B:$B,0)))</f>
        <v>0</v>
      </c>
    </row>
    <row r="183" spans="1:15" ht="14.4" hidden="1" customHeight="1" x14ac:dyDescent="0.3">
      <c r="A183" s="29"/>
      <c r="B183" t="s">
        <v>407</v>
      </c>
      <c r="C183" t="s">
        <v>50</v>
      </c>
      <c r="D183" t="s">
        <v>37</v>
      </c>
      <c r="E183" t="s">
        <v>40</v>
      </c>
      <c r="F183" t="s">
        <v>111</v>
      </c>
      <c r="G183" t="s">
        <v>4</v>
      </c>
      <c r="N183" t="b" cm="1">
        <f t="array" ref="N183">SUMPRODUCT(--ISNUMBER(MATCH(TRIM(C183:L183),Extracted_Parameters!$B:$B,0)))=COUNTA(C183:K183)</f>
        <v>1</v>
      </c>
      <c r="O183" cm="1">
        <f t="array" ref="O183">COUNTA(C183:K183)-SUMPRODUCT(--ISNUMBER(MATCH(C183:K183,Extracted_Parameters!$B:$B,0)))</f>
        <v>0</v>
      </c>
    </row>
    <row r="184" spans="1:15" ht="14.4" hidden="1" customHeight="1" x14ac:dyDescent="0.3">
      <c r="A184" s="29"/>
      <c r="B184" t="s">
        <v>408</v>
      </c>
      <c r="C184" t="s">
        <v>50</v>
      </c>
      <c r="D184" t="s">
        <v>37</v>
      </c>
      <c r="E184" t="s">
        <v>40</v>
      </c>
      <c r="F184" t="s">
        <v>111</v>
      </c>
      <c r="G184" t="s">
        <v>4</v>
      </c>
      <c r="N184" t="b" cm="1">
        <f t="array" ref="N184">SUMPRODUCT(--ISNUMBER(MATCH(TRIM(C184:L184),Extracted_Parameters!$B:$B,0)))=COUNTA(C184:K184)</f>
        <v>1</v>
      </c>
      <c r="O184" cm="1">
        <f t="array" ref="O184">COUNTA(C184:K184)-SUMPRODUCT(--ISNUMBER(MATCH(C184:K184,Extracted_Parameters!$B:$B,0)))</f>
        <v>0</v>
      </c>
    </row>
    <row r="185" spans="1:15" ht="14.4" customHeight="1" x14ac:dyDescent="0.3">
      <c r="A185" s="29"/>
      <c r="B185" t="s">
        <v>409</v>
      </c>
      <c r="C185" t="s">
        <v>111</v>
      </c>
      <c r="D185" t="s">
        <v>367</v>
      </c>
      <c r="E185" t="s">
        <v>37</v>
      </c>
      <c r="F185" t="s">
        <v>14</v>
      </c>
      <c r="G185" t="s">
        <v>4</v>
      </c>
      <c r="N185" t="b" cm="1">
        <f t="array" ref="N185">SUMPRODUCT(--ISNUMBER(MATCH(TRIM(C185:L185),Extracted_Parameters!$B:$B,0)))=COUNTA(C185:K185)</f>
        <v>0</v>
      </c>
      <c r="O185" cm="1">
        <f t="array" ref="O185">COUNTA(C185:K185)-SUMPRODUCT(--ISNUMBER(MATCH(C185:K185,Extracted_Parameters!$B:$B,0)))</f>
        <v>1</v>
      </c>
    </row>
    <row r="186" spans="1:15" ht="14.4" customHeight="1" x14ac:dyDescent="0.3">
      <c r="A186" s="29"/>
      <c r="B186" t="s">
        <v>410</v>
      </c>
      <c r="C186" t="s">
        <v>50</v>
      </c>
      <c r="D186" t="s">
        <v>40</v>
      </c>
      <c r="E186" t="s">
        <v>14</v>
      </c>
      <c r="F186" t="s">
        <v>37</v>
      </c>
      <c r="G186" t="s">
        <v>4</v>
      </c>
      <c r="H186" t="s">
        <v>392</v>
      </c>
      <c r="I186" t="s">
        <v>411</v>
      </c>
      <c r="N186" t="b" cm="1">
        <f t="array" ref="N186">SUMPRODUCT(--ISNUMBER(MATCH(TRIM(C186:L186),Extracted_Parameters!$B:$B,0)))=COUNTA(C186:K186)</f>
        <v>0</v>
      </c>
      <c r="O186" cm="1">
        <f t="array" ref="O186">COUNTA(C186:K186)-SUMPRODUCT(--ISNUMBER(MATCH(C186:K186,Extracted_Parameters!$B:$B,0)))</f>
        <v>1</v>
      </c>
    </row>
    <row r="187" spans="1:15" ht="14.4" hidden="1" customHeight="1" x14ac:dyDescent="0.3">
      <c r="A187" s="29"/>
      <c r="B187" t="s">
        <v>412</v>
      </c>
      <c r="C187" t="s">
        <v>37</v>
      </c>
      <c r="D187" t="s">
        <v>111</v>
      </c>
      <c r="E187" t="s">
        <v>14</v>
      </c>
      <c r="F187" t="s">
        <v>4</v>
      </c>
      <c r="G187" t="s">
        <v>50</v>
      </c>
      <c r="N187" t="b" cm="1">
        <f t="array" ref="N187">SUMPRODUCT(--ISNUMBER(MATCH(TRIM(C187:L187),Extracted_Parameters!$B:$B,0)))=COUNTA(C187:K187)</f>
        <v>1</v>
      </c>
      <c r="O187" cm="1">
        <f t="array" ref="O187">COUNTA(C187:K187)-SUMPRODUCT(--ISNUMBER(MATCH(C187:K187,Extracted_Parameters!$B:$B,0)))</f>
        <v>0</v>
      </c>
    </row>
    <row r="188" spans="1:15" ht="14.4" hidden="1" customHeight="1" x14ac:dyDescent="0.3">
      <c r="A188" s="29"/>
      <c r="B188" t="s">
        <v>413</v>
      </c>
      <c r="C188" t="s">
        <v>37</v>
      </c>
      <c r="D188" t="s">
        <v>14</v>
      </c>
      <c r="E188" t="s">
        <v>4</v>
      </c>
      <c r="F188" t="s">
        <v>50</v>
      </c>
      <c r="G188" t="s">
        <v>111</v>
      </c>
      <c r="H188" t="s">
        <v>40</v>
      </c>
      <c r="N188" t="b" cm="1">
        <f t="array" ref="N188">SUMPRODUCT(--ISNUMBER(MATCH(TRIM(C188:L188),Extracted_Parameters!$B:$B,0)))=COUNTA(C188:K188)</f>
        <v>1</v>
      </c>
      <c r="O188" cm="1">
        <f t="array" ref="O188">COUNTA(C188:K188)-SUMPRODUCT(--ISNUMBER(MATCH(C188:K188,Extracted_Parameters!$B:$B,0)))</f>
        <v>0</v>
      </c>
    </row>
    <row r="189" spans="1:15" ht="14.4" customHeight="1" x14ac:dyDescent="0.3">
      <c r="A189" s="29"/>
      <c r="B189" t="s">
        <v>414</v>
      </c>
      <c r="C189" t="s">
        <v>37</v>
      </c>
      <c r="D189" t="s">
        <v>40</v>
      </c>
      <c r="E189" t="s">
        <v>50</v>
      </c>
      <c r="F189" t="s">
        <v>111</v>
      </c>
      <c r="G189" t="s">
        <v>386</v>
      </c>
      <c r="N189" t="b" cm="1">
        <f t="array" ref="N189">SUMPRODUCT(--ISNUMBER(MATCH(TRIM(C189:L189),Extracted_Parameters!$B:$B,0)))=COUNTA(C189:K189)</f>
        <v>0</v>
      </c>
      <c r="O189" cm="1">
        <f t="array" ref="O189">COUNTA(C189:K189)-SUMPRODUCT(--ISNUMBER(MATCH(C189:K189,Extracted_Parameters!$B:$B,0)))</f>
        <v>1</v>
      </c>
    </row>
    <row r="190" spans="1:15" ht="14.4" customHeight="1" x14ac:dyDescent="0.3">
      <c r="A190" s="29"/>
      <c r="B190" t="s">
        <v>415</v>
      </c>
      <c r="C190" t="s">
        <v>37</v>
      </c>
      <c r="D190" t="s">
        <v>40</v>
      </c>
      <c r="E190" t="s">
        <v>111</v>
      </c>
      <c r="F190" t="s">
        <v>386</v>
      </c>
      <c r="G190" t="s">
        <v>392</v>
      </c>
      <c r="H190" t="s">
        <v>50</v>
      </c>
      <c r="I190" t="s">
        <v>4</v>
      </c>
      <c r="J190" t="s">
        <v>14</v>
      </c>
      <c r="N190" t="b" cm="1">
        <f t="array" ref="N190">SUMPRODUCT(--ISNUMBER(MATCH(TRIM(C190:L190),Extracted_Parameters!$B:$B,0)))=COUNTA(C190:K190)</f>
        <v>0</v>
      </c>
      <c r="O190" cm="1">
        <f t="array" ref="O190">COUNTA(C190:K190)-SUMPRODUCT(--ISNUMBER(MATCH(C190:K190,Extracted_Parameters!$B:$B,0)))</f>
        <v>1</v>
      </c>
    </row>
    <row r="191" spans="1:15" ht="14.4" hidden="1" customHeight="1" x14ac:dyDescent="0.3">
      <c r="A191" s="29"/>
      <c r="B191" t="s">
        <v>416</v>
      </c>
      <c r="C191" t="s">
        <v>37</v>
      </c>
      <c r="D191" t="s">
        <v>40</v>
      </c>
      <c r="E191" t="s">
        <v>4</v>
      </c>
      <c r="F191" t="s">
        <v>111</v>
      </c>
      <c r="G191" t="s">
        <v>14</v>
      </c>
      <c r="H191" t="s">
        <v>50</v>
      </c>
      <c r="N191" t="b" cm="1">
        <f t="array" ref="N191">SUMPRODUCT(--ISNUMBER(MATCH(TRIM(C191:L191),Extracted_Parameters!$B:$B,0)))=COUNTA(C191:K191)</f>
        <v>1</v>
      </c>
      <c r="O191" cm="1">
        <f t="array" ref="O191">COUNTA(C191:K191)-SUMPRODUCT(--ISNUMBER(MATCH(C191:K191,Extracted_Parameters!$B:$B,0)))</f>
        <v>0</v>
      </c>
    </row>
    <row r="192" spans="1:15" ht="14.4" hidden="1" customHeight="1" x14ac:dyDescent="0.3">
      <c r="A192" s="29"/>
      <c r="B192" t="s">
        <v>417</v>
      </c>
      <c r="C192" t="s">
        <v>50</v>
      </c>
      <c r="D192" t="s">
        <v>37</v>
      </c>
      <c r="E192" t="s">
        <v>40</v>
      </c>
      <c r="F192" t="s">
        <v>111</v>
      </c>
      <c r="G192" t="s">
        <v>4</v>
      </c>
      <c r="H192" t="s">
        <v>14</v>
      </c>
      <c r="N192" t="b" cm="1">
        <f t="array" ref="N192">SUMPRODUCT(--ISNUMBER(MATCH(TRIM(C192:L192),Extracted_Parameters!$B:$B,0)))=COUNTA(C192:K192)</f>
        <v>1</v>
      </c>
      <c r="O192" cm="1">
        <f t="array" ref="O192">COUNTA(C192:K192)-SUMPRODUCT(--ISNUMBER(MATCH(C192:K192,Extracted_Parameters!$B:$B,0)))</f>
        <v>0</v>
      </c>
    </row>
    <row r="193" spans="1:15" ht="14.4" hidden="1" customHeight="1" x14ac:dyDescent="0.3">
      <c r="A193" s="29"/>
      <c r="B193" t="s">
        <v>418</v>
      </c>
      <c r="C193" t="s">
        <v>37</v>
      </c>
      <c r="D193" t="s">
        <v>40</v>
      </c>
      <c r="E193" t="s">
        <v>111</v>
      </c>
      <c r="F193" t="s">
        <v>14</v>
      </c>
      <c r="G193" t="s">
        <v>4</v>
      </c>
      <c r="H193" t="s">
        <v>50</v>
      </c>
      <c r="N193" t="b" cm="1">
        <f t="array" ref="N193">SUMPRODUCT(--ISNUMBER(MATCH(TRIM(C193:L193),Extracted_Parameters!$B:$B,0)))=COUNTA(C193:K193)</f>
        <v>1</v>
      </c>
      <c r="O193" cm="1">
        <f t="array" ref="O193">COUNTA(C193:K193)-SUMPRODUCT(--ISNUMBER(MATCH(C193:K193,Extracted_Parameters!$B:$B,0)))</f>
        <v>0</v>
      </c>
    </row>
    <row r="194" spans="1:15" ht="14.4" hidden="1" customHeight="1" x14ac:dyDescent="0.3">
      <c r="A194" s="29"/>
      <c r="B194" t="s">
        <v>419</v>
      </c>
      <c r="C194" t="s">
        <v>37</v>
      </c>
      <c r="D194" t="s">
        <v>40</v>
      </c>
      <c r="E194" t="s">
        <v>111</v>
      </c>
      <c r="F194" t="s">
        <v>14</v>
      </c>
      <c r="G194" t="s">
        <v>4</v>
      </c>
      <c r="N194" t="b" cm="1">
        <f t="array" ref="N194">SUMPRODUCT(--ISNUMBER(MATCH(TRIM(C194:L194),Extracted_Parameters!$B:$B,0)))=COUNTA(C194:K194)</f>
        <v>1</v>
      </c>
      <c r="O194" cm="1">
        <f t="array" ref="O194">COUNTA(C194:K194)-SUMPRODUCT(--ISNUMBER(MATCH(C194:K194,Extracted_Parameters!$B:$B,0)))</f>
        <v>0</v>
      </c>
    </row>
    <row r="195" spans="1:15" ht="14.4" customHeight="1" x14ac:dyDescent="0.3">
      <c r="A195" s="29"/>
      <c r="B195" t="s">
        <v>420</v>
      </c>
      <c r="C195" t="s">
        <v>50</v>
      </c>
      <c r="D195" t="s">
        <v>37</v>
      </c>
      <c r="E195" t="s">
        <v>421</v>
      </c>
      <c r="F195" t="s">
        <v>40</v>
      </c>
      <c r="G195" t="s">
        <v>111</v>
      </c>
      <c r="H195" t="s">
        <v>4</v>
      </c>
      <c r="I195" t="s">
        <v>14</v>
      </c>
      <c r="N195" t="b" cm="1">
        <f t="array" ref="N195">SUMPRODUCT(--ISNUMBER(MATCH(TRIM(C195:L195),Extracted_Parameters!$B:$B,0)))=COUNTA(C195:K195)</f>
        <v>0</v>
      </c>
      <c r="O195" cm="1">
        <f t="array" ref="O195">COUNTA(C195:K195)-SUMPRODUCT(--ISNUMBER(MATCH(C195:K195,Extracted_Parameters!$B:$B,0)))</f>
        <v>1</v>
      </c>
    </row>
    <row r="196" spans="1:15" ht="14.4" hidden="1" customHeight="1" x14ac:dyDescent="0.3">
      <c r="A196" s="29"/>
      <c r="B196" t="s">
        <v>423</v>
      </c>
      <c r="C196" t="s">
        <v>40</v>
      </c>
      <c r="D196" t="s">
        <v>111</v>
      </c>
      <c r="E196" t="s">
        <v>14</v>
      </c>
      <c r="F196" t="s">
        <v>4</v>
      </c>
      <c r="G196" t="s">
        <v>37</v>
      </c>
      <c r="H196" t="s">
        <v>50</v>
      </c>
      <c r="I196" t="s">
        <v>302</v>
      </c>
      <c r="N196" t="b" cm="1">
        <f t="array" ref="N196">SUMPRODUCT(--ISNUMBER(MATCH(TRIM(C196:L196),Extracted_Parameters!$B:$B,0)))=COUNTA(C196:K196)</f>
        <v>1</v>
      </c>
      <c r="O196" cm="1">
        <f t="array" ref="O196">COUNTA(C196:K196)-SUMPRODUCT(--ISNUMBER(MATCH(C196:K196,Extracted_Parameters!$B:$B,0)))</f>
        <v>0</v>
      </c>
    </row>
    <row r="197" spans="1:15" ht="14.4" hidden="1" customHeight="1" x14ac:dyDescent="0.3">
      <c r="A197" s="29"/>
      <c r="B197" t="s">
        <v>424</v>
      </c>
      <c r="C197" t="s">
        <v>50</v>
      </c>
      <c r="D197" t="s">
        <v>37</v>
      </c>
      <c r="E197" t="s">
        <v>14</v>
      </c>
      <c r="F197" t="s">
        <v>425</v>
      </c>
      <c r="G197" t="s">
        <v>302</v>
      </c>
      <c r="H197" t="s">
        <v>426</v>
      </c>
      <c r="I197" t="s">
        <v>111</v>
      </c>
      <c r="J197" t="s">
        <v>427</v>
      </c>
      <c r="N197" t="b" cm="1">
        <f t="array" ref="N197">SUMPRODUCT(--ISNUMBER(MATCH(TRIM(C197:L197),Extracted_Parameters!$B:$B,0)))=COUNTA(C197:K197)</f>
        <v>0</v>
      </c>
      <c r="O197" cm="1">
        <f t="array" ref="O197">COUNTA(C197:K197)-SUMPRODUCT(--ISNUMBER(MATCH(C197:K197,Extracted_Parameters!$B:$B,0)))</f>
        <v>3</v>
      </c>
    </row>
    <row r="198" spans="1:15" ht="14.4" hidden="1" customHeight="1" x14ac:dyDescent="0.3">
      <c r="A198" s="29"/>
      <c r="B198" t="s">
        <v>428</v>
      </c>
      <c r="C198" t="s">
        <v>50</v>
      </c>
      <c r="D198" t="s">
        <v>37</v>
      </c>
      <c r="E198" t="s">
        <v>40</v>
      </c>
      <c r="F198" t="s">
        <v>14</v>
      </c>
      <c r="G198" t="s">
        <v>302</v>
      </c>
      <c r="H198" t="s">
        <v>111</v>
      </c>
      <c r="N198" t="b" cm="1">
        <f t="array" ref="N198">SUMPRODUCT(--ISNUMBER(MATCH(TRIM(C198:L198),Extracted_Parameters!$B:$B,0)))=COUNTA(C198:K198)</f>
        <v>1</v>
      </c>
      <c r="O198" cm="1">
        <f t="array" ref="O198">COUNTA(C198:K198)-SUMPRODUCT(--ISNUMBER(MATCH(C198:K198,Extracted_Parameters!$B:$B,0)))</f>
        <v>0</v>
      </c>
    </row>
    <row r="199" spans="1:15" ht="14.4" customHeight="1" x14ac:dyDescent="0.3">
      <c r="A199" s="29"/>
      <c r="B199" t="s">
        <v>429</v>
      </c>
      <c r="C199" t="s">
        <v>37</v>
      </c>
      <c r="D199" t="s">
        <v>302</v>
      </c>
      <c r="E199" t="s">
        <v>426</v>
      </c>
      <c r="F199" t="s">
        <v>4</v>
      </c>
      <c r="G199" t="s">
        <v>14</v>
      </c>
      <c r="H199" t="s">
        <v>111</v>
      </c>
      <c r="N199" t="b" cm="1">
        <f t="array" ref="N199">SUMPRODUCT(--ISNUMBER(MATCH(TRIM(C199:L199),Extracted_Parameters!$B:$B,0)))=COUNTA(C199:K199)</f>
        <v>0</v>
      </c>
      <c r="O199" cm="1">
        <f t="array" ref="O199">COUNTA(C199:K199)-SUMPRODUCT(--ISNUMBER(MATCH(C199:K199,Extracted_Parameters!$B:$B,0)))</f>
        <v>1</v>
      </c>
    </row>
    <row r="200" spans="1:15" ht="14.4" hidden="1" customHeight="1" x14ac:dyDescent="0.3">
      <c r="A200" s="29"/>
      <c r="B200" t="s">
        <v>430</v>
      </c>
      <c r="C200" t="s">
        <v>37</v>
      </c>
      <c r="D200" t="s">
        <v>14</v>
      </c>
      <c r="E200" t="s">
        <v>4</v>
      </c>
      <c r="F200" t="s">
        <v>40</v>
      </c>
      <c r="N200" t="b" cm="1">
        <f t="array" ref="N200">SUMPRODUCT(--ISNUMBER(MATCH(TRIM(C200:L200),Extracted_Parameters!$B:$B,0)))=COUNTA(C200:K200)</f>
        <v>1</v>
      </c>
      <c r="O200" cm="1">
        <f t="array" ref="O200">COUNTA(C200:K200)-SUMPRODUCT(--ISNUMBER(MATCH(C200:K200,Extracted_Parameters!$B:$B,0)))</f>
        <v>0</v>
      </c>
    </row>
    <row r="201" spans="1:15" ht="14.4" hidden="1" customHeight="1" x14ac:dyDescent="0.3">
      <c r="A201" s="29"/>
      <c r="B201" t="s">
        <v>431</v>
      </c>
      <c r="C201" t="s">
        <v>37</v>
      </c>
      <c r="D201" t="s">
        <v>40</v>
      </c>
      <c r="E201" t="s">
        <v>50</v>
      </c>
      <c r="N201" t="b" cm="1">
        <f t="array" ref="N201">SUMPRODUCT(--ISNUMBER(MATCH(TRIM(C201:L201),Extracted_Parameters!$B:$B,0)))=COUNTA(C201:K201)</f>
        <v>1</v>
      </c>
      <c r="O201" cm="1">
        <f t="array" ref="O201">COUNTA(C201:K201)-SUMPRODUCT(--ISNUMBER(MATCH(C201:K201,Extracted_Parameters!$B:$B,0)))</f>
        <v>0</v>
      </c>
    </row>
    <row r="202" spans="1:15" hidden="1" x14ac:dyDescent="0.3">
      <c r="A202" s="29" t="s">
        <v>432</v>
      </c>
      <c r="B202" t="s">
        <v>433</v>
      </c>
      <c r="C202" t="s">
        <v>37</v>
      </c>
      <c r="D202" t="s">
        <v>434</v>
      </c>
      <c r="E202" t="s">
        <v>50</v>
      </c>
      <c r="F202" t="s">
        <v>40</v>
      </c>
      <c r="G202" t="s">
        <v>14</v>
      </c>
      <c r="H202" t="s">
        <v>435</v>
      </c>
      <c r="N202" t="b" cm="1">
        <f t="array" ref="N202">SUMPRODUCT(--ISNUMBER(MATCH(TRIM(C202:L202),Extracted_Parameters!$B:$B,0)))=COUNTA(C202:K202)</f>
        <v>0</v>
      </c>
      <c r="O202" cm="1">
        <f t="array" ref="O202">COUNTA(C202:K202)-SUMPRODUCT(--ISNUMBER(MATCH(C202:K202,Extracted_Parameters!$B:$B,0)))</f>
        <v>2</v>
      </c>
    </row>
    <row r="203" spans="1:15" ht="14.4" hidden="1" customHeight="1" x14ac:dyDescent="0.3">
      <c r="A203" s="29"/>
      <c r="B203" t="s">
        <v>436</v>
      </c>
      <c r="C203" t="s">
        <v>50</v>
      </c>
      <c r="D203" t="s">
        <v>63</v>
      </c>
      <c r="E203" t="s">
        <v>111</v>
      </c>
      <c r="F203" t="s">
        <v>242</v>
      </c>
      <c r="G203" t="s">
        <v>4</v>
      </c>
      <c r="H203" t="s">
        <v>45</v>
      </c>
      <c r="I203" t="s">
        <v>14</v>
      </c>
      <c r="N203" t="b" cm="1">
        <f t="array" ref="N203">SUMPRODUCT(--ISNUMBER(MATCH(TRIM(C203:L203),Extracted_Parameters!$B:$B,0)))=COUNTA(C203:K203)</f>
        <v>0</v>
      </c>
      <c r="O203" cm="1">
        <f t="array" ref="O203">COUNTA(C203:K203)-SUMPRODUCT(--ISNUMBER(MATCH(C203:K203,Extracted_Parameters!$B:$B,0)))</f>
        <v>2</v>
      </c>
    </row>
    <row r="204" spans="1:15" ht="14.4" hidden="1" customHeight="1" x14ac:dyDescent="0.3">
      <c r="A204" s="29"/>
      <c r="B204" t="s">
        <v>437</v>
      </c>
      <c r="C204" t="s">
        <v>438</v>
      </c>
      <c r="D204" t="s">
        <v>63</v>
      </c>
      <c r="E204" t="s">
        <v>50</v>
      </c>
      <c r="F204" t="s">
        <v>4</v>
      </c>
      <c r="G204" t="s">
        <v>14</v>
      </c>
      <c r="H204" t="s">
        <v>40</v>
      </c>
      <c r="I204" t="s">
        <v>111</v>
      </c>
      <c r="N204" t="b" cm="1">
        <f t="array" ref="N204">SUMPRODUCT(--ISNUMBER(MATCH(TRIM(C204:L204),Extracted_Parameters!$B:$B,0)))=COUNTA(C204:K204)</f>
        <v>0</v>
      </c>
      <c r="O204" cm="1">
        <f t="array" ref="O204">COUNTA(C204:K204)-SUMPRODUCT(--ISNUMBER(MATCH(C204:K204,Extracted_Parameters!$B:$B,0)))</f>
        <v>2</v>
      </c>
    </row>
    <row r="205" spans="1:15" ht="14.4" hidden="1" customHeight="1" x14ac:dyDescent="0.3">
      <c r="A205" s="29"/>
      <c r="B205" t="s">
        <v>439</v>
      </c>
      <c r="C205" t="s">
        <v>440</v>
      </c>
      <c r="D205" t="s">
        <v>13</v>
      </c>
      <c r="E205" t="s">
        <v>50</v>
      </c>
      <c r="F205" t="s">
        <v>4</v>
      </c>
      <c r="G205" t="s">
        <v>441</v>
      </c>
      <c r="H205" t="s">
        <v>40</v>
      </c>
      <c r="I205" t="s">
        <v>442</v>
      </c>
      <c r="N205" t="b" cm="1">
        <f t="array" ref="N205">SUMPRODUCT(--ISNUMBER(MATCH(TRIM(C205:L205),Extracted_Parameters!$B:$B,0)))=COUNTA(C205:K205)</f>
        <v>0</v>
      </c>
      <c r="O205" cm="1">
        <f t="array" ref="O205">COUNTA(C205:K205)-SUMPRODUCT(--ISNUMBER(MATCH(C205:K205,Extracted_Parameters!$B:$B,0)))</f>
        <v>3</v>
      </c>
    </row>
    <row r="206" spans="1:15" ht="14.4" hidden="1" customHeight="1" x14ac:dyDescent="0.3">
      <c r="A206" s="29"/>
      <c r="B206" t="s">
        <v>443</v>
      </c>
      <c r="C206" t="s">
        <v>440</v>
      </c>
      <c r="D206" t="s">
        <v>63</v>
      </c>
      <c r="E206" t="s">
        <v>50</v>
      </c>
      <c r="F206" t="s">
        <v>4</v>
      </c>
      <c r="G206" t="s">
        <v>14</v>
      </c>
      <c r="H206" t="s">
        <v>40</v>
      </c>
      <c r="I206" t="s">
        <v>13</v>
      </c>
      <c r="N206" t="b" cm="1">
        <f t="array" ref="N206">SUMPRODUCT(--ISNUMBER(MATCH(TRIM(C206:L206),Extracted_Parameters!$B:$B,0)))=COUNTA(C206:K206)</f>
        <v>0</v>
      </c>
      <c r="O206" cm="1">
        <f t="array" ref="O206">COUNTA(C206:K206)-SUMPRODUCT(--ISNUMBER(MATCH(C206:K206,Extracted_Parameters!$B:$B,0)))</f>
        <v>2</v>
      </c>
    </row>
    <row r="207" spans="1:15" ht="14.4" hidden="1" customHeight="1" x14ac:dyDescent="0.3">
      <c r="A207" s="29"/>
      <c r="B207" t="s">
        <v>444</v>
      </c>
      <c r="C207" t="s">
        <v>50</v>
      </c>
      <c r="D207" t="s">
        <v>440</v>
      </c>
      <c r="E207" t="s">
        <v>40</v>
      </c>
      <c r="F207" t="s">
        <v>242</v>
      </c>
      <c r="G207" t="s">
        <v>445</v>
      </c>
      <c r="H207" t="s">
        <v>4</v>
      </c>
      <c r="I207" t="s">
        <v>14</v>
      </c>
      <c r="N207" t="b" cm="1">
        <f t="array" ref="N207">SUMPRODUCT(--ISNUMBER(MATCH(TRIM(C207:L207),Extracted_Parameters!$B:$B,0)))=COUNTA(C207:K207)</f>
        <v>0</v>
      </c>
      <c r="O207" cm="1">
        <f t="array" ref="O207">COUNTA(C207:K207)-SUMPRODUCT(--ISNUMBER(MATCH(C207:K207,Extracted_Parameters!$B:$B,0)))</f>
        <v>2</v>
      </c>
    </row>
    <row r="208" spans="1:15" ht="14.4" customHeight="1" x14ac:dyDescent="0.3">
      <c r="A208" s="29"/>
      <c r="B208" t="s">
        <v>446</v>
      </c>
      <c r="C208" t="s">
        <v>50</v>
      </c>
      <c r="D208" t="s">
        <v>40</v>
      </c>
      <c r="E208" t="s">
        <v>111</v>
      </c>
      <c r="F208" t="s">
        <v>447</v>
      </c>
      <c r="N208" t="b" cm="1">
        <f t="array" ref="N208">SUMPRODUCT(--ISNUMBER(MATCH(TRIM(C208:L208),Extracted_Parameters!$B:$B,0)))=COUNTA(C208:K208)</f>
        <v>0</v>
      </c>
      <c r="O208" cm="1">
        <f t="array" ref="O208">COUNTA(C208:K208)-SUMPRODUCT(--ISNUMBER(MATCH(C208:K208,Extracted_Parameters!$B:$B,0)))</f>
        <v>1</v>
      </c>
    </row>
    <row r="209" spans="1:15" x14ac:dyDescent="0.3">
      <c r="A209" s="29" t="s">
        <v>448</v>
      </c>
      <c r="B209" t="s">
        <v>449</v>
      </c>
      <c r="C209" t="s">
        <v>37</v>
      </c>
      <c r="D209" t="s">
        <v>14</v>
      </c>
      <c r="E209" t="s">
        <v>4</v>
      </c>
      <c r="F209" t="s">
        <v>40</v>
      </c>
      <c r="G209" t="s">
        <v>450</v>
      </c>
      <c r="N209" t="b" cm="1">
        <f t="array" ref="N209">SUMPRODUCT(--ISNUMBER(MATCH(TRIM(C209:L209),Extracted_Parameters!$B:$B,0)))=COUNTA(C209:K209)</f>
        <v>0</v>
      </c>
      <c r="O209" cm="1">
        <f t="array" ref="O209">COUNTA(C209:K209)-SUMPRODUCT(--ISNUMBER(MATCH(C209:K209,Extracted_Parameters!$B:$B,0)))</f>
        <v>1</v>
      </c>
    </row>
    <row r="210" spans="1:15" ht="14.4" customHeight="1" x14ac:dyDescent="0.3">
      <c r="A210" s="29"/>
      <c r="B210" t="s">
        <v>451</v>
      </c>
      <c r="C210" t="s">
        <v>452</v>
      </c>
      <c r="D210" t="s">
        <v>37</v>
      </c>
      <c r="E210" t="s">
        <v>50</v>
      </c>
      <c r="F210" t="s">
        <v>40</v>
      </c>
      <c r="N210" t="b" cm="1">
        <f t="array" ref="N210">SUMPRODUCT(--ISNUMBER(MATCH(TRIM(C210:L210),Extracted_Parameters!$B:$B,0)))=COUNTA(C210:K210)</f>
        <v>0</v>
      </c>
      <c r="O210" cm="1">
        <f t="array" ref="O210">COUNTA(C210:K210)-SUMPRODUCT(--ISNUMBER(MATCH(C210:K210,Extracted_Parameters!$B:$B,0)))</f>
        <v>1</v>
      </c>
    </row>
    <row r="211" spans="1:15" ht="14.4" customHeight="1" x14ac:dyDescent="0.3">
      <c r="A211" s="29"/>
      <c r="B211" t="s">
        <v>453</v>
      </c>
      <c r="C211" t="s">
        <v>37</v>
      </c>
      <c r="D211" t="s">
        <v>454</v>
      </c>
      <c r="E211" t="s">
        <v>50</v>
      </c>
      <c r="F211" t="s">
        <v>40</v>
      </c>
      <c r="G211" t="s">
        <v>14</v>
      </c>
      <c r="H211" t="s">
        <v>111</v>
      </c>
      <c r="N211" t="b" cm="1">
        <f t="array" ref="N211">SUMPRODUCT(--ISNUMBER(MATCH(TRIM(C211:L211),Extracted_Parameters!$B:$B,0)))=COUNTA(C211:K211)</f>
        <v>0</v>
      </c>
      <c r="O211" cm="1">
        <f t="array" ref="O211">COUNTA(C211:K211)-SUMPRODUCT(--ISNUMBER(MATCH(C211:K211,Extracted_Parameters!$B:$B,0)))</f>
        <v>1</v>
      </c>
    </row>
    <row r="212" spans="1:15" ht="14.4" hidden="1" customHeight="1" x14ac:dyDescent="0.3">
      <c r="A212" s="29"/>
      <c r="B212" t="s">
        <v>455</v>
      </c>
      <c r="C212" t="s">
        <v>37</v>
      </c>
      <c r="D212" t="s">
        <v>50</v>
      </c>
      <c r="E212" t="s">
        <v>40</v>
      </c>
      <c r="F212" t="s">
        <v>14</v>
      </c>
      <c r="G212" t="s">
        <v>111</v>
      </c>
      <c r="N212" t="b" cm="1">
        <f t="array" ref="N212">SUMPRODUCT(--ISNUMBER(MATCH(TRIM(C212:L212),Extracted_Parameters!$B:$B,0)))=COUNTA(C212:K212)</f>
        <v>1</v>
      </c>
      <c r="O212" cm="1">
        <f t="array" ref="O212">COUNTA(C212:K212)-SUMPRODUCT(--ISNUMBER(MATCH(C212:K212,Extracted_Parameters!$B:$B,0)))</f>
        <v>0</v>
      </c>
    </row>
    <row r="213" spans="1:15" ht="14.4" customHeight="1" x14ac:dyDescent="0.3">
      <c r="A213" s="29"/>
      <c r="B213" t="s">
        <v>456</v>
      </c>
      <c r="C213" t="s">
        <v>37</v>
      </c>
      <c r="D213" t="s">
        <v>50</v>
      </c>
      <c r="E213" t="s">
        <v>40</v>
      </c>
      <c r="F213" t="s">
        <v>111</v>
      </c>
      <c r="G213" t="s">
        <v>14</v>
      </c>
      <c r="H213" t="s">
        <v>302</v>
      </c>
      <c r="I213" t="s">
        <v>457</v>
      </c>
      <c r="N213" t="b" cm="1">
        <f t="array" ref="N213">SUMPRODUCT(--ISNUMBER(MATCH(TRIM(C213:L213),Extracted_Parameters!$B:$B,0)))=COUNTA(C213:K213)</f>
        <v>0</v>
      </c>
      <c r="O213" cm="1">
        <f t="array" ref="O213">COUNTA(C213:K213)-SUMPRODUCT(--ISNUMBER(MATCH(C213:K213,Extracted_Parameters!$B:$B,0)))</f>
        <v>1</v>
      </c>
    </row>
    <row r="214" spans="1:15" ht="14.4" hidden="1" customHeight="1" x14ac:dyDescent="0.3">
      <c r="A214" s="29"/>
      <c r="B214" t="s">
        <v>458</v>
      </c>
      <c r="C214" t="s">
        <v>37</v>
      </c>
      <c r="D214" t="s">
        <v>50</v>
      </c>
      <c r="E214" t="s">
        <v>40</v>
      </c>
      <c r="F214" t="s">
        <v>14</v>
      </c>
      <c r="G214" t="s">
        <v>111</v>
      </c>
      <c r="N214" t="b" cm="1">
        <f t="array" ref="N214">SUMPRODUCT(--ISNUMBER(MATCH(TRIM(C214:L214),Extracted_Parameters!$B:$B,0)))=COUNTA(C214:K214)</f>
        <v>1</v>
      </c>
      <c r="O214" cm="1">
        <f t="array" ref="O214">COUNTA(C214:K214)-SUMPRODUCT(--ISNUMBER(MATCH(C214:K214,Extracted_Parameters!$B:$B,0)))</f>
        <v>0</v>
      </c>
    </row>
    <row r="215" spans="1:15" ht="14.4" hidden="1" customHeight="1" x14ac:dyDescent="0.3">
      <c r="A215" s="29"/>
      <c r="B215" t="s">
        <v>459</v>
      </c>
      <c r="C215" t="s">
        <v>37</v>
      </c>
      <c r="D215" t="s">
        <v>50</v>
      </c>
      <c r="E215" t="s">
        <v>14</v>
      </c>
      <c r="F215" t="s">
        <v>40</v>
      </c>
      <c r="N215" t="b" cm="1">
        <f t="array" ref="N215">SUMPRODUCT(--ISNUMBER(MATCH(TRIM(C215:L215),Extracted_Parameters!$B:$B,0)))=COUNTA(C215:K215)</f>
        <v>1</v>
      </c>
      <c r="O215" cm="1">
        <f t="array" ref="O215">COUNTA(C215:K215)-SUMPRODUCT(--ISNUMBER(MATCH(C215:K215,Extracted_Parameters!$B:$B,0)))</f>
        <v>0</v>
      </c>
    </row>
    <row r="216" spans="1:15" ht="14.4" hidden="1" customHeight="1" x14ac:dyDescent="0.3">
      <c r="A216" s="29"/>
      <c r="B216" t="s">
        <v>460</v>
      </c>
      <c r="C216" t="s">
        <v>37</v>
      </c>
      <c r="D216" t="s">
        <v>40</v>
      </c>
      <c r="E216" t="s">
        <v>111</v>
      </c>
      <c r="F216" t="s">
        <v>50</v>
      </c>
      <c r="G216" t="s">
        <v>461</v>
      </c>
      <c r="H216" t="s">
        <v>4</v>
      </c>
      <c r="I216" t="s">
        <v>112</v>
      </c>
      <c r="J216" t="s">
        <v>14</v>
      </c>
      <c r="K216" t="s">
        <v>63</v>
      </c>
      <c r="L216" t="s">
        <v>462</v>
      </c>
      <c r="N216" t="b" cm="1">
        <f t="array" ref="N216">SUMPRODUCT(--ISNUMBER(MATCH(TRIM(C216:L216),Extracted_Parameters!$B:$B,0)))=COUNTA(C216:K216)</f>
        <v>0</v>
      </c>
      <c r="O216" cm="1">
        <f t="array" ref="O216">COUNTA(C216:K216)-SUMPRODUCT(--ISNUMBER(MATCH(C216:K216,Extracted_Parameters!$B:$B,0)))</f>
        <v>2</v>
      </c>
    </row>
    <row r="217" spans="1:15" ht="14.4" hidden="1" customHeight="1" x14ac:dyDescent="0.3">
      <c r="A217" s="29"/>
      <c r="B217" t="s">
        <v>463</v>
      </c>
      <c r="C217" t="s">
        <v>37</v>
      </c>
      <c r="D217" t="s">
        <v>50</v>
      </c>
      <c r="E217" t="s">
        <v>40</v>
      </c>
      <c r="F217" t="s">
        <v>111</v>
      </c>
      <c r="N217" t="b" cm="1">
        <f t="array" ref="N217">SUMPRODUCT(--ISNUMBER(MATCH(TRIM(C217:L217),Extracted_Parameters!$B:$B,0)))=COUNTA(C217:K217)</f>
        <v>1</v>
      </c>
      <c r="O217" cm="1">
        <f t="array" ref="O217">COUNTA(C217:K217)-SUMPRODUCT(--ISNUMBER(MATCH(C217:K217,Extracted_Parameters!$B:$B,0)))</f>
        <v>0</v>
      </c>
    </row>
    <row r="218" spans="1:15" ht="14.4" customHeight="1" x14ac:dyDescent="0.3">
      <c r="A218" s="29"/>
      <c r="B218" t="s">
        <v>464</v>
      </c>
      <c r="C218" t="s">
        <v>37</v>
      </c>
      <c r="D218" t="s">
        <v>50</v>
      </c>
      <c r="E218" t="s">
        <v>14</v>
      </c>
      <c r="F218" t="s">
        <v>40</v>
      </c>
      <c r="G218" t="s">
        <v>111</v>
      </c>
      <c r="H218" t="s">
        <v>465</v>
      </c>
      <c r="I218" t="s">
        <v>569</v>
      </c>
      <c r="N218" t="b" cm="1">
        <f t="array" ref="N218">SUMPRODUCT(--ISNUMBER(MATCH(TRIM(C218:L218),Extracted_Parameters!$B:$B,0)))=COUNTA(C218:K218)</f>
        <v>0</v>
      </c>
      <c r="O218" cm="1">
        <f t="array" ref="O218">COUNTA(C218:K218)-SUMPRODUCT(--ISNUMBER(MATCH(C218:K218,Extracted_Parameters!$B:$B,0)))</f>
        <v>1</v>
      </c>
    </row>
    <row r="219" spans="1:15" ht="14.4" hidden="1" customHeight="1" x14ac:dyDescent="0.3">
      <c r="A219" s="29"/>
      <c r="B219" t="s">
        <v>467</v>
      </c>
      <c r="C219" t="s">
        <v>40</v>
      </c>
      <c r="D219" t="s">
        <v>37</v>
      </c>
      <c r="E219" t="s">
        <v>14</v>
      </c>
      <c r="F219" t="s">
        <v>468</v>
      </c>
      <c r="G219" t="s">
        <v>24</v>
      </c>
      <c r="H219" t="s">
        <v>469</v>
      </c>
      <c r="I219" t="s">
        <v>50</v>
      </c>
      <c r="N219" t="b" cm="1">
        <f t="array" ref="N219">SUMPRODUCT(--ISNUMBER(MATCH(TRIM(C219:L219),Extracted_Parameters!$B:$B,0)))=COUNTA(C219:K219)</f>
        <v>0</v>
      </c>
      <c r="O219" cm="1">
        <f t="array" ref="O219">COUNTA(C219:K219)-SUMPRODUCT(--ISNUMBER(MATCH(C219:K219,Extracted_Parameters!$B:$B,0)))</f>
        <v>2</v>
      </c>
    </row>
    <row r="220" spans="1:15" ht="14.4" hidden="1" customHeight="1" x14ac:dyDescent="0.3">
      <c r="A220" s="29"/>
      <c r="B220" t="s">
        <v>470</v>
      </c>
      <c r="C220" t="s">
        <v>37</v>
      </c>
      <c r="D220" t="s">
        <v>50</v>
      </c>
      <c r="E220" t="s">
        <v>14</v>
      </c>
      <c r="F220" t="s">
        <v>40</v>
      </c>
      <c r="N220" t="b" cm="1">
        <f t="array" ref="N220">SUMPRODUCT(--ISNUMBER(MATCH(TRIM(C220:L220),Extracted_Parameters!$B:$B,0)))=COUNTA(C220:K220)</f>
        <v>1</v>
      </c>
      <c r="O220" cm="1">
        <f t="array" ref="O220">COUNTA(C220:K220)-SUMPRODUCT(--ISNUMBER(MATCH(C220:K220,Extracted_Parameters!$B:$B,0)))</f>
        <v>0</v>
      </c>
    </row>
    <row r="221" spans="1:15" ht="14.4" customHeight="1" x14ac:dyDescent="0.3">
      <c r="A221" s="29"/>
      <c r="B221" t="s">
        <v>471</v>
      </c>
      <c r="C221" t="s">
        <v>37</v>
      </c>
      <c r="D221" t="s">
        <v>50</v>
      </c>
      <c r="E221" t="s">
        <v>40</v>
      </c>
      <c r="F221" t="s">
        <v>14</v>
      </c>
      <c r="G221" t="s">
        <v>111</v>
      </c>
      <c r="H221" t="s">
        <v>472</v>
      </c>
      <c r="N221" t="b" cm="1">
        <f t="array" ref="N221">SUMPRODUCT(--ISNUMBER(MATCH(TRIM(C221:L221),Extracted_Parameters!$B:$B,0)))=COUNTA(C221:K221)</f>
        <v>0</v>
      </c>
      <c r="O221" cm="1">
        <f t="array" ref="O221">COUNTA(C221:K221)-SUMPRODUCT(--ISNUMBER(MATCH(C221:K221,Extracted_Parameters!$B:$B,0)))</f>
        <v>1</v>
      </c>
    </row>
    <row r="222" spans="1:15" ht="14.4" hidden="1" customHeight="1" x14ac:dyDescent="0.3">
      <c r="A222" s="29"/>
      <c r="B222" t="s">
        <v>473</v>
      </c>
      <c r="C222" t="s">
        <v>37</v>
      </c>
      <c r="D222" t="s">
        <v>111</v>
      </c>
      <c r="E222" t="s">
        <v>474</v>
      </c>
      <c r="F222" t="s">
        <v>50</v>
      </c>
      <c r="G222" t="s">
        <v>475</v>
      </c>
      <c r="H222" t="s">
        <v>40</v>
      </c>
      <c r="I222" t="s">
        <v>14</v>
      </c>
      <c r="N222" t="b" cm="1">
        <f t="array" ref="N222">SUMPRODUCT(--ISNUMBER(MATCH(TRIM(C222:L222),Extracted_Parameters!$B:$B,0)))=COUNTA(C222:K222)</f>
        <v>0</v>
      </c>
      <c r="O222" cm="1">
        <f t="array" ref="O222">COUNTA(C222:K222)-SUMPRODUCT(--ISNUMBER(MATCH(C222:K222,Extracted_Parameters!$B:$B,0)))</f>
        <v>2</v>
      </c>
    </row>
    <row r="223" spans="1:15" ht="14.4" customHeight="1" x14ac:dyDescent="0.3">
      <c r="A223" s="29"/>
      <c r="B223" t="s">
        <v>476</v>
      </c>
      <c r="C223" t="s">
        <v>37</v>
      </c>
      <c r="D223" t="s">
        <v>474</v>
      </c>
      <c r="E223" t="s">
        <v>50</v>
      </c>
      <c r="F223" t="s">
        <v>40</v>
      </c>
      <c r="G223" t="s">
        <v>14</v>
      </c>
      <c r="H223" t="s">
        <v>4</v>
      </c>
      <c r="N223" t="b" cm="1">
        <f t="array" ref="N223">SUMPRODUCT(--ISNUMBER(MATCH(TRIM(C223:L223),Extracted_Parameters!$B:$B,0)))=COUNTA(C223:K223)</f>
        <v>0</v>
      </c>
      <c r="O223" cm="1">
        <f t="array" ref="O223">COUNTA(C223:K223)-SUMPRODUCT(--ISNUMBER(MATCH(C223:K223,Extracted_Parameters!$B:$B,0)))</f>
        <v>1</v>
      </c>
    </row>
    <row r="224" spans="1:15" ht="14.4" customHeight="1" x14ac:dyDescent="0.3">
      <c r="A224" s="29"/>
      <c r="B224" t="s">
        <v>477</v>
      </c>
      <c r="C224" t="s">
        <v>37</v>
      </c>
      <c r="D224" t="s">
        <v>14</v>
      </c>
      <c r="E224" t="s">
        <v>4</v>
      </c>
      <c r="F224" t="s">
        <v>40</v>
      </c>
      <c r="G224" t="s">
        <v>478</v>
      </c>
      <c r="H224" t="s">
        <v>24</v>
      </c>
      <c r="I224" t="s">
        <v>111</v>
      </c>
      <c r="J224" t="s">
        <v>50</v>
      </c>
      <c r="N224" t="b" cm="1">
        <f t="array" ref="N224">SUMPRODUCT(--ISNUMBER(MATCH(TRIM(C224:L224),Extracted_Parameters!$B:$B,0)))=COUNTA(C224:K224)</f>
        <v>0</v>
      </c>
      <c r="O224" cm="1">
        <f t="array" ref="O224">COUNTA(C224:K224)-SUMPRODUCT(--ISNUMBER(MATCH(C224:K224,Extracted_Parameters!$B:$B,0)))</f>
        <v>1</v>
      </c>
    </row>
    <row r="225" spans="1:15" ht="14.4" hidden="1" customHeight="1" x14ac:dyDescent="0.3">
      <c r="A225" s="29"/>
      <c r="B225" t="s">
        <v>479</v>
      </c>
      <c r="C225" t="s">
        <v>37</v>
      </c>
      <c r="D225" t="s">
        <v>50</v>
      </c>
      <c r="E225" t="s">
        <v>14</v>
      </c>
      <c r="F225" t="s">
        <v>40</v>
      </c>
      <c r="G225" t="s">
        <v>111</v>
      </c>
      <c r="N225" t="b" cm="1">
        <f t="array" ref="N225">SUMPRODUCT(--ISNUMBER(MATCH(TRIM(C225:L225),Extracted_Parameters!$B:$B,0)))=COUNTA(C225:K225)</f>
        <v>1</v>
      </c>
      <c r="O225" cm="1">
        <f t="array" ref="O225">COUNTA(C225:K225)-SUMPRODUCT(--ISNUMBER(MATCH(C225:K225,Extracted_Parameters!$B:$B,0)))</f>
        <v>0</v>
      </c>
    </row>
    <row r="226" spans="1:15" ht="14.4" hidden="1" customHeight="1" x14ac:dyDescent="0.3">
      <c r="A226" s="29"/>
      <c r="B226" t="s">
        <v>480</v>
      </c>
      <c r="C226" t="s">
        <v>37</v>
      </c>
      <c r="D226" t="s">
        <v>481</v>
      </c>
      <c r="E226" t="s">
        <v>50</v>
      </c>
      <c r="F226" t="s">
        <v>40</v>
      </c>
      <c r="G226" t="s">
        <v>111</v>
      </c>
      <c r="H226" t="s">
        <v>482</v>
      </c>
      <c r="I226" t="s">
        <v>14</v>
      </c>
      <c r="J226" t="s">
        <v>4</v>
      </c>
      <c r="N226" t="b" cm="1">
        <f t="array" ref="N226">SUMPRODUCT(--ISNUMBER(MATCH(TRIM(C226:L226),Extracted_Parameters!$B:$B,0)))=COUNTA(C226:K226)</f>
        <v>0</v>
      </c>
      <c r="O226" cm="1">
        <f t="array" ref="O226">COUNTA(C226:K226)-SUMPRODUCT(--ISNUMBER(MATCH(C226:K226,Extracted_Parameters!$B:$B,0)))</f>
        <v>2</v>
      </c>
    </row>
    <row r="227" spans="1:15" ht="14.4" hidden="1" customHeight="1" x14ac:dyDescent="0.3">
      <c r="A227" s="29"/>
      <c r="B227" t="s">
        <v>483</v>
      </c>
      <c r="C227" t="s">
        <v>37</v>
      </c>
      <c r="D227" t="s">
        <v>50</v>
      </c>
      <c r="E227" t="s">
        <v>40</v>
      </c>
      <c r="F227" t="s">
        <v>14</v>
      </c>
      <c r="N227" t="b" cm="1">
        <f t="array" ref="N227">SUMPRODUCT(--ISNUMBER(MATCH(TRIM(C227:L227),Extracted_Parameters!$B:$B,0)))=COUNTA(C227:K227)</f>
        <v>1</v>
      </c>
      <c r="O227" cm="1">
        <f t="array" ref="O227">COUNTA(C227:K227)-SUMPRODUCT(--ISNUMBER(MATCH(C227:K227,Extracted_Parameters!$B:$B,0)))</f>
        <v>0</v>
      </c>
    </row>
    <row r="228" spans="1:15" ht="14.4" customHeight="1" x14ac:dyDescent="0.3">
      <c r="A228" s="29"/>
      <c r="B228" t="s">
        <v>484</v>
      </c>
      <c r="C228" t="s">
        <v>37</v>
      </c>
      <c r="D228" t="s">
        <v>50</v>
      </c>
      <c r="E228" t="s">
        <v>40</v>
      </c>
      <c r="F228" t="s">
        <v>14</v>
      </c>
      <c r="G228" t="s">
        <v>111</v>
      </c>
      <c r="H228" t="s">
        <v>485</v>
      </c>
      <c r="I228" t="s">
        <v>4</v>
      </c>
      <c r="N228" t="b" cm="1">
        <f t="array" ref="N228">SUMPRODUCT(--ISNUMBER(MATCH(TRIM(C228:L228),Extracted_Parameters!$B:$B,0)))=COUNTA(C228:K228)</f>
        <v>0</v>
      </c>
      <c r="O228" cm="1">
        <f t="array" ref="O228">COUNTA(C228:K228)-SUMPRODUCT(--ISNUMBER(MATCH(C228:K228,Extracted_Parameters!$B:$B,0)))</f>
        <v>1</v>
      </c>
    </row>
    <row r="229" spans="1:15" ht="14.4" customHeight="1" x14ac:dyDescent="0.3">
      <c r="A229" s="29"/>
      <c r="B229" t="s">
        <v>486</v>
      </c>
      <c r="C229" t="s">
        <v>37</v>
      </c>
      <c r="D229" t="s">
        <v>50</v>
      </c>
      <c r="E229" t="s">
        <v>40</v>
      </c>
      <c r="F229" t="s">
        <v>14</v>
      </c>
      <c r="G229" t="s">
        <v>111</v>
      </c>
      <c r="H229" t="s">
        <v>4</v>
      </c>
      <c r="I229" t="s">
        <v>487</v>
      </c>
      <c r="J229" t="s">
        <v>14</v>
      </c>
      <c r="N229" t="b" cm="1">
        <f t="array" ref="N229">SUMPRODUCT(--ISNUMBER(MATCH(TRIM(C229:L229),Extracted_Parameters!$B:$B,0)))=COUNTA(C229:K229)</f>
        <v>0</v>
      </c>
      <c r="O229" cm="1">
        <f t="array" ref="O229">COUNTA(C229:K229)-SUMPRODUCT(--ISNUMBER(MATCH(C229:K229,Extracted_Parameters!$B:$B,0)))</f>
        <v>1</v>
      </c>
    </row>
    <row r="230" spans="1:15" ht="14.4" hidden="1" customHeight="1" x14ac:dyDescent="0.3">
      <c r="A230" s="29"/>
      <c r="B230" t="s">
        <v>488</v>
      </c>
      <c r="C230" t="s">
        <v>37</v>
      </c>
      <c r="D230" t="s">
        <v>50</v>
      </c>
      <c r="E230" t="s">
        <v>40</v>
      </c>
      <c r="F230" t="s">
        <v>14</v>
      </c>
      <c r="G230" t="s">
        <v>111</v>
      </c>
      <c r="N230" t="b" cm="1">
        <f t="array" ref="N230">SUMPRODUCT(--ISNUMBER(MATCH(TRIM(C230:L230),Extracted_Parameters!$B:$B,0)))=COUNTA(C230:K230)</f>
        <v>1</v>
      </c>
      <c r="O230" cm="1">
        <f t="array" ref="O230">COUNTA(C230:K230)-SUMPRODUCT(--ISNUMBER(MATCH(C230:K230,Extracted_Parameters!$B:$B,0)))</f>
        <v>0</v>
      </c>
    </row>
    <row r="231" spans="1:15" ht="14.4" customHeight="1" x14ac:dyDescent="0.3">
      <c r="A231" s="29"/>
      <c r="B231" t="s">
        <v>489</v>
      </c>
      <c r="C231" t="s">
        <v>37</v>
      </c>
      <c r="D231" t="s">
        <v>40</v>
      </c>
      <c r="E231" t="s">
        <v>4</v>
      </c>
      <c r="F231" t="s">
        <v>14</v>
      </c>
      <c r="G231" t="s">
        <v>50</v>
      </c>
      <c r="H231" t="s">
        <v>490</v>
      </c>
      <c r="N231" t="b" cm="1">
        <f t="array" ref="N231">SUMPRODUCT(--ISNUMBER(MATCH(TRIM(C231:L231),Extracted_Parameters!$B:$B,0)))=COUNTA(C231:K231)</f>
        <v>0</v>
      </c>
      <c r="O231" cm="1">
        <f t="array" ref="O231">COUNTA(C231:K231)-SUMPRODUCT(--ISNUMBER(MATCH(C231:K231,Extracted_Parameters!$B:$B,0)))</f>
        <v>1</v>
      </c>
    </row>
    <row r="232" spans="1:15" ht="14.4" hidden="1" customHeight="1" x14ac:dyDescent="0.3">
      <c r="A232" s="29"/>
      <c r="B232" t="s">
        <v>491</v>
      </c>
      <c r="C232" t="s">
        <v>37</v>
      </c>
      <c r="D232" t="s">
        <v>50</v>
      </c>
      <c r="E232" t="s">
        <v>4</v>
      </c>
      <c r="F232" t="s">
        <v>14</v>
      </c>
      <c r="G232" t="s">
        <v>40</v>
      </c>
      <c r="H232" t="s">
        <v>111</v>
      </c>
      <c r="N232" t="b" cm="1">
        <f t="array" ref="N232">SUMPRODUCT(--ISNUMBER(MATCH(TRIM(C232:L232),Extracted_Parameters!$B:$B,0)))=COUNTA(C232:K232)</f>
        <v>1</v>
      </c>
      <c r="O232" cm="1">
        <f t="array" ref="O232">COUNTA(C232:K232)-SUMPRODUCT(--ISNUMBER(MATCH(C232:K232,Extracted_Parameters!$B:$B,0)))</f>
        <v>0</v>
      </c>
    </row>
    <row r="233" spans="1:15" ht="14.4" hidden="1" customHeight="1" x14ac:dyDescent="0.3">
      <c r="A233" s="29"/>
      <c r="B233" t="s">
        <v>492</v>
      </c>
      <c r="C233" t="s">
        <v>37</v>
      </c>
      <c r="D233" t="s">
        <v>50</v>
      </c>
      <c r="E233" t="s">
        <v>4</v>
      </c>
      <c r="F233" t="s">
        <v>14</v>
      </c>
      <c r="G233" t="s">
        <v>40</v>
      </c>
      <c r="H233" t="s">
        <v>111</v>
      </c>
      <c r="N233" t="b" cm="1">
        <f t="array" ref="N233">SUMPRODUCT(--ISNUMBER(MATCH(TRIM(C233:L233),Extracted_Parameters!$B:$B,0)))=COUNTA(C233:K233)</f>
        <v>1</v>
      </c>
      <c r="O233" cm="1">
        <f t="array" ref="O233">COUNTA(C233:K233)-SUMPRODUCT(--ISNUMBER(MATCH(C233:K233,Extracted_Parameters!$B:$B,0)))</f>
        <v>0</v>
      </c>
    </row>
    <row r="234" spans="1:15" ht="14.4" hidden="1" customHeight="1" x14ac:dyDescent="0.3">
      <c r="A234" s="29"/>
      <c r="B234" t="s">
        <v>493</v>
      </c>
      <c r="C234" t="s">
        <v>37</v>
      </c>
      <c r="D234" t="s">
        <v>50</v>
      </c>
      <c r="E234" t="s">
        <v>4</v>
      </c>
      <c r="F234" t="s">
        <v>14</v>
      </c>
      <c r="G234" t="s">
        <v>40</v>
      </c>
      <c r="H234" t="s">
        <v>111</v>
      </c>
      <c r="N234" t="b" cm="1">
        <f t="array" ref="N234">SUMPRODUCT(--ISNUMBER(MATCH(TRIM(C234:L234),Extracted_Parameters!$B:$B,0)))=COUNTA(C234:K234)</f>
        <v>1</v>
      </c>
      <c r="O234" cm="1">
        <f t="array" ref="O234">COUNTA(C234:K234)-SUMPRODUCT(--ISNUMBER(MATCH(C234:K234,Extracted_Parameters!$B:$B,0)))</f>
        <v>0</v>
      </c>
    </row>
    <row r="235" spans="1:15" s="12" customFormat="1" ht="14.4" hidden="1" customHeight="1" x14ac:dyDescent="0.3">
      <c r="A235" s="29"/>
      <c r="B235" t="s">
        <v>494</v>
      </c>
      <c r="N235" t="b" cm="1">
        <f t="array" ref="N235">SUMPRODUCT(--ISNUMBER(MATCH(TRIM(C235:L235),Extracted_Parameters!$B:$B,0)))=COUNTA(C235:K235)</f>
        <v>1</v>
      </c>
      <c r="O235" t="s">
        <v>57</v>
      </c>
    </row>
    <row r="236" spans="1:15" ht="14.4" hidden="1" customHeight="1" x14ac:dyDescent="0.3">
      <c r="A236" s="29"/>
      <c r="B236" t="s">
        <v>495</v>
      </c>
      <c r="C236" t="s">
        <v>37</v>
      </c>
      <c r="D236" t="s">
        <v>50</v>
      </c>
      <c r="E236" t="s">
        <v>40</v>
      </c>
      <c r="F236" t="s">
        <v>14</v>
      </c>
      <c r="G236" t="s">
        <v>4</v>
      </c>
      <c r="H236" t="s">
        <v>496</v>
      </c>
      <c r="I236" t="s">
        <v>487</v>
      </c>
      <c r="J236" t="s">
        <v>367</v>
      </c>
      <c r="N236" t="b" cm="1">
        <f t="array" ref="N236">SUMPRODUCT(--ISNUMBER(MATCH(TRIM(C236:L236),Extracted_Parameters!$B:$B,0)))=COUNTA(C236:K236)</f>
        <v>0</v>
      </c>
      <c r="O236" cm="1">
        <f t="array" ref="O236">COUNTA(C236:K236)-SUMPRODUCT(--ISNUMBER(MATCH(C236:K236,Extracted_Parameters!$B:$B,0)))</f>
        <v>3</v>
      </c>
    </row>
    <row r="237" spans="1:15" ht="14.4" customHeight="1" x14ac:dyDescent="0.3">
      <c r="A237" s="29"/>
      <c r="B237" t="s">
        <v>497</v>
      </c>
      <c r="C237" t="s">
        <v>37</v>
      </c>
      <c r="D237" t="s">
        <v>50</v>
      </c>
      <c r="E237" t="s">
        <v>40</v>
      </c>
      <c r="F237" t="s">
        <v>14</v>
      </c>
      <c r="G237" t="s">
        <v>498</v>
      </c>
      <c r="N237" t="b" cm="1">
        <f t="array" ref="N237">SUMPRODUCT(--ISNUMBER(MATCH(TRIM(C237:L237),Extracted_Parameters!$B:$B,0)))=COUNTA(C237:K237)</f>
        <v>0</v>
      </c>
      <c r="O237" cm="1">
        <f t="array" ref="O237">COUNTA(C237:K237)-SUMPRODUCT(--ISNUMBER(MATCH(C237:K237,Extracted_Parameters!$B:$B,0)))</f>
        <v>1</v>
      </c>
    </row>
    <row r="238" spans="1:15" ht="14.4" customHeight="1" x14ac:dyDescent="0.3">
      <c r="A238" s="29"/>
      <c r="B238" t="s">
        <v>499</v>
      </c>
      <c r="C238" t="s">
        <v>37</v>
      </c>
      <c r="D238" t="s">
        <v>50</v>
      </c>
      <c r="E238" t="s">
        <v>111</v>
      </c>
      <c r="F238" t="s">
        <v>302</v>
      </c>
      <c r="G238" t="s">
        <v>500</v>
      </c>
      <c r="N238" t="b" cm="1">
        <f t="array" ref="N238">SUMPRODUCT(--ISNUMBER(MATCH(TRIM(C238:L238),Extracted_Parameters!$B:$B,0)))=COUNTA(C238:K238)</f>
        <v>0</v>
      </c>
      <c r="O238" cm="1">
        <f t="array" ref="O238">COUNTA(C238:K238)-SUMPRODUCT(--ISNUMBER(MATCH(C238:K238,Extracted_Parameters!$B:$B,0)))</f>
        <v>1</v>
      </c>
    </row>
    <row r="239" spans="1:15" ht="14.4" customHeight="1" x14ac:dyDescent="0.3">
      <c r="A239" s="29"/>
      <c r="B239" t="s">
        <v>501</v>
      </c>
      <c r="C239" t="s">
        <v>37</v>
      </c>
      <c r="D239" t="s">
        <v>50</v>
      </c>
      <c r="E239" t="s">
        <v>14</v>
      </c>
      <c r="F239" t="s">
        <v>4</v>
      </c>
      <c r="G239" t="s">
        <v>40</v>
      </c>
      <c r="H239" t="s">
        <v>302</v>
      </c>
      <c r="I239" t="s">
        <v>502</v>
      </c>
      <c r="N239" t="b" cm="1">
        <f t="array" ref="N239">SUMPRODUCT(--ISNUMBER(MATCH(TRIM(C239:L239),Extracted_Parameters!$B:$B,0)))=COUNTA(C239:K239)</f>
        <v>0</v>
      </c>
      <c r="O239" cm="1">
        <f t="array" ref="O239">COUNTA(C239:K239)-SUMPRODUCT(--ISNUMBER(MATCH(C239:K239,Extracted_Parameters!$B:$B,0)))</f>
        <v>1</v>
      </c>
    </row>
    <row r="240" spans="1:15" ht="14.4" hidden="1" customHeight="1" x14ac:dyDescent="0.3">
      <c r="A240" s="29"/>
      <c r="B240" t="s">
        <v>503</v>
      </c>
      <c r="C240" t="s">
        <v>37</v>
      </c>
      <c r="D240" t="s">
        <v>50</v>
      </c>
      <c r="E240" t="s">
        <v>14</v>
      </c>
      <c r="F240" t="s">
        <v>40</v>
      </c>
      <c r="G240" t="s">
        <v>111</v>
      </c>
      <c r="N240" t="b" cm="1">
        <f t="array" ref="N240">SUMPRODUCT(--ISNUMBER(MATCH(TRIM(C240:L240),Extracted_Parameters!$B:$B,0)))=COUNTA(C240:K240)</f>
        <v>1</v>
      </c>
      <c r="O240" cm="1">
        <f t="array" ref="O240">COUNTA(C240:K240)-SUMPRODUCT(--ISNUMBER(MATCH(C240:K240,Extracted_Parameters!$B:$B,0)))</f>
        <v>0</v>
      </c>
    </row>
    <row r="241" spans="1:27" ht="14.4" customHeight="1" x14ac:dyDescent="0.3">
      <c r="A241" s="29"/>
      <c r="B241" t="s">
        <v>504</v>
      </c>
      <c r="C241" t="s">
        <v>37</v>
      </c>
      <c r="D241" t="s">
        <v>50</v>
      </c>
      <c r="E241" t="s">
        <v>14</v>
      </c>
      <c r="F241" t="s">
        <v>40</v>
      </c>
      <c r="G241" t="s">
        <v>111</v>
      </c>
      <c r="H241" t="s">
        <v>505</v>
      </c>
      <c r="N241" t="b" cm="1">
        <f t="array" ref="N241">SUMPRODUCT(--ISNUMBER(MATCH(TRIM(C241:L241),Extracted_Parameters!$B:$B,0)))=COUNTA(C241:K241)</f>
        <v>0</v>
      </c>
      <c r="O241" cm="1">
        <f t="array" ref="O241">COUNTA(C241:K241)-SUMPRODUCT(--ISNUMBER(MATCH(C241:K241,Extracted_Parameters!$B:$B,0)))</f>
        <v>1</v>
      </c>
    </row>
    <row r="242" spans="1:27" ht="14.4" customHeight="1" x14ac:dyDescent="0.3">
      <c r="A242" s="29"/>
      <c r="B242" t="s">
        <v>506</v>
      </c>
      <c r="C242" t="s">
        <v>37</v>
      </c>
      <c r="D242" t="s">
        <v>50</v>
      </c>
      <c r="E242" t="s">
        <v>478</v>
      </c>
      <c r="F242" t="s">
        <v>14</v>
      </c>
      <c r="G242" t="s">
        <v>111</v>
      </c>
      <c r="H242" t="s">
        <v>40</v>
      </c>
      <c r="I242" t="s">
        <v>112</v>
      </c>
      <c r="N242" t="b" cm="1">
        <f t="array" ref="N242">SUMPRODUCT(--ISNUMBER(MATCH(TRIM(C242:L242),Extracted_Parameters!$B:$B,0)))=COUNTA(C242:K242)</f>
        <v>0</v>
      </c>
      <c r="O242" cm="1">
        <f t="array" ref="O242">COUNTA(C242:K242)-SUMPRODUCT(--ISNUMBER(MATCH(C242:K242,Extracted_Parameters!$B:$B,0)))</f>
        <v>1</v>
      </c>
    </row>
    <row r="243" spans="1:27" ht="14.4" customHeight="1" x14ac:dyDescent="0.3">
      <c r="A243" s="29"/>
      <c r="B243" t="s">
        <v>507</v>
      </c>
      <c r="C243" t="s">
        <v>37</v>
      </c>
      <c r="D243" t="s">
        <v>50</v>
      </c>
      <c r="E243" t="s">
        <v>40</v>
      </c>
      <c r="F243" t="s">
        <v>14</v>
      </c>
      <c r="G243" t="s">
        <v>111</v>
      </c>
      <c r="H243" t="s">
        <v>490</v>
      </c>
      <c r="I243" t="s">
        <v>302</v>
      </c>
      <c r="N243" t="b" cm="1">
        <f t="array" ref="N243">SUMPRODUCT(--ISNUMBER(MATCH(TRIM(C243:L243),Extracted_Parameters!$B:$B,0)))=COUNTA(C243:K243)</f>
        <v>0</v>
      </c>
      <c r="O243" cm="1">
        <f t="array" ref="O243">COUNTA(C243:K243)-SUMPRODUCT(--ISNUMBER(MATCH(C243:K243,Extracted_Parameters!$B:$B,0)))</f>
        <v>1</v>
      </c>
    </row>
    <row r="244" spans="1:27" ht="14.4" hidden="1" customHeight="1" x14ac:dyDescent="0.3">
      <c r="A244" s="29"/>
      <c r="B244" t="s">
        <v>508</v>
      </c>
      <c r="C244" t="s">
        <v>37</v>
      </c>
      <c r="D244" t="s">
        <v>50</v>
      </c>
      <c r="E244" t="s">
        <v>4</v>
      </c>
      <c r="F244" t="s">
        <v>14</v>
      </c>
      <c r="N244" t="b" cm="1">
        <f t="array" ref="N244">SUMPRODUCT(--ISNUMBER(MATCH(TRIM(C244:L244),Extracted_Parameters!$B:$B,0)))=COUNTA(C244:K244)</f>
        <v>1</v>
      </c>
      <c r="O244" cm="1">
        <f t="array" ref="O244">COUNTA(C244:K244)-SUMPRODUCT(--ISNUMBER(MATCH(C244:K244,Extracted_Parameters!$B:$B,0)))</f>
        <v>0</v>
      </c>
    </row>
    <row r="245" spans="1:27" ht="14.4" hidden="1" customHeight="1" x14ac:dyDescent="0.3">
      <c r="A245" s="29"/>
      <c r="B245" t="s">
        <v>509</v>
      </c>
      <c r="C245" t="s">
        <v>37</v>
      </c>
      <c r="D245" t="s">
        <v>50</v>
      </c>
      <c r="E245" t="s">
        <v>40</v>
      </c>
      <c r="F245" t="s">
        <v>14</v>
      </c>
      <c r="G245" t="s">
        <v>475</v>
      </c>
      <c r="H245" t="s">
        <v>498</v>
      </c>
      <c r="N245" t="b" cm="1">
        <f t="array" ref="N245">SUMPRODUCT(--ISNUMBER(MATCH(TRIM(C245:L245),Extracted_Parameters!$B:$B,0)))=COUNTA(C245:K245)</f>
        <v>0</v>
      </c>
      <c r="O245" cm="1">
        <f t="array" ref="O245">COUNTA(C245:K245)-SUMPRODUCT(--ISNUMBER(MATCH(C245:K245,Extracted_Parameters!$B:$B,0)))</f>
        <v>2</v>
      </c>
    </row>
    <row r="246" spans="1:27" ht="14.4" hidden="1" customHeight="1" x14ac:dyDescent="0.3">
      <c r="A246" s="29"/>
      <c r="B246" t="s">
        <v>510</v>
      </c>
      <c r="N246" t="b" cm="1">
        <f t="array" ref="N246">SUMPRODUCT(--ISNUMBER(MATCH(TRIM(C246:L246),Extracted_Parameters!$B:$B,0)))=COUNTA(C246:K246)</f>
        <v>1</v>
      </c>
      <c r="O246" cm="1">
        <f t="array" ref="O246">COUNTA(C246:K246)-SUMPRODUCT(--ISNUMBER(MATCH(C246:K246,Extracted_Parameters!$B:$B,0)))</f>
        <v>0</v>
      </c>
    </row>
    <row r="247" spans="1:27" ht="14.4" customHeight="1" x14ac:dyDescent="0.3">
      <c r="A247" s="29"/>
      <c r="B247" t="s">
        <v>511</v>
      </c>
      <c r="C247" t="s">
        <v>37</v>
      </c>
      <c r="D247" t="s">
        <v>50</v>
      </c>
      <c r="E247" t="s">
        <v>40</v>
      </c>
      <c r="F247" t="s">
        <v>14</v>
      </c>
      <c r="G247" t="s">
        <v>498</v>
      </c>
      <c r="N247" t="b" cm="1">
        <f t="array" ref="N247">SUMPRODUCT(--ISNUMBER(MATCH(TRIM(C247:L247),Extracted_Parameters!$B:$B,0)))=COUNTA(C247:K247)</f>
        <v>0</v>
      </c>
      <c r="O247" cm="1">
        <f t="array" ref="O247">COUNTA(C247:K247)-SUMPRODUCT(--ISNUMBER(MATCH(C247:K247,Extracted_Parameters!$B:$B,0)))</f>
        <v>1</v>
      </c>
    </row>
    <row r="248" spans="1:27" ht="14.4" hidden="1" customHeight="1" x14ac:dyDescent="0.3">
      <c r="A248" s="29"/>
      <c r="B248" t="s">
        <v>512</v>
      </c>
      <c r="C248" t="s">
        <v>37</v>
      </c>
      <c r="D248" t="s">
        <v>50</v>
      </c>
      <c r="E248" t="s">
        <v>40</v>
      </c>
      <c r="F248" t="s">
        <v>4</v>
      </c>
      <c r="G248" t="s">
        <v>14</v>
      </c>
      <c r="N248" t="b" cm="1">
        <f t="array" ref="N248">SUMPRODUCT(--ISNUMBER(MATCH(TRIM(C248:L248),Extracted_Parameters!$B:$B,0)))=COUNTA(C248:K248)</f>
        <v>1</v>
      </c>
      <c r="O248" cm="1">
        <f t="array" ref="O248">COUNTA(C248:K248)-SUMPRODUCT(--ISNUMBER(MATCH(C248:K248,Extracted_Parameters!$B:$B,0)))</f>
        <v>0</v>
      </c>
    </row>
    <row r="249" spans="1:27" ht="14.4" hidden="1" customHeight="1" x14ac:dyDescent="0.3">
      <c r="A249" s="29"/>
      <c r="B249" t="s">
        <v>513</v>
      </c>
      <c r="C249" t="s">
        <v>37</v>
      </c>
      <c r="D249" t="s">
        <v>50</v>
      </c>
      <c r="E249" t="s">
        <v>40</v>
      </c>
      <c r="F249" t="s">
        <v>4</v>
      </c>
      <c r="G249" t="s">
        <v>14</v>
      </c>
      <c r="N249" t="b" cm="1">
        <f t="array" ref="N249">SUMPRODUCT(--ISNUMBER(MATCH(TRIM(C249:L249),Extracted_Parameters!$B:$B,0)))=COUNTA(C249:K249)</f>
        <v>1</v>
      </c>
      <c r="O249" cm="1">
        <f t="array" ref="O249">COUNTA(C249:K249)-SUMPRODUCT(--ISNUMBER(MATCH(C249:K249,Extracted_Parameters!$B:$B,0)))</f>
        <v>0</v>
      </c>
    </row>
    <row r="250" spans="1:27" ht="14.4" hidden="1" customHeight="1" x14ac:dyDescent="0.3">
      <c r="A250" s="29"/>
      <c r="B250" t="s">
        <v>514</v>
      </c>
      <c r="C250" t="s">
        <v>37</v>
      </c>
      <c r="D250" t="s">
        <v>50</v>
      </c>
      <c r="E250" t="s">
        <v>40</v>
      </c>
      <c r="F250" t="s">
        <v>14</v>
      </c>
      <c r="G250" t="s">
        <v>515</v>
      </c>
      <c r="N250" t="b" cm="1">
        <f t="array" ref="N250">SUMPRODUCT(--ISNUMBER(MATCH(TRIM(C250:L250),Extracted_Parameters!$B:$B,0)))=COUNTA(C250:K250)</f>
        <v>1</v>
      </c>
      <c r="O250" cm="1">
        <f t="array" ref="O250">COUNTA(C250:K250)-SUMPRODUCT(--ISNUMBER(MATCH(C250:K250,Extracted_Parameters!$B:$B,0)))</f>
        <v>0</v>
      </c>
    </row>
    <row r="251" spans="1:27" hidden="1" x14ac:dyDescent="0.3">
      <c r="A251" t="s">
        <v>516</v>
      </c>
      <c r="B251" t="s">
        <v>517</v>
      </c>
      <c r="C251" t="s">
        <v>518</v>
      </c>
      <c r="D251" t="s">
        <v>50</v>
      </c>
      <c r="E251" t="s">
        <v>519</v>
      </c>
      <c r="F251" t="s">
        <v>520</v>
      </c>
      <c r="G251" t="s">
        <v>521</v>
      </c>
      <c r="H251" t="s">
        <v>522</v>
      </c>
      <c r="N251" t="b" cm="1">
        <f t="array" ref="N251">SUMPRODUCT(--ISNUMBER(MATCH(TRIM(C251:L251),Extracted_Parameters!$B:$B,0)))=COUNTA(C251:K251)</f>
        <v>0</v>
      </c>
      <c r="O251" cm="1">
        <f t="array" ref="O251">COUNTA(C251:K251)-SUMPRODUCT(--ISNUMBER(MATCH(C251:K251,Extracted_Parameters!$B:$B,0)))</f>
        <v>5</v>
      </c>
    </row>
    <row r="252" spans="1:27" s="12" customFormat="1" ht="15" hidden="1" thickBot="1" x14ac:dyDescent="0.35">
      <c r="A252"/>
      <c r="B252" s="21" t="s">
        <v>120</v>
      </c>
      <c r="G252" s="12" t="s">
        <v>523</v>
      </c>
      <c r="N252" t="b" cm="1">
        <f t="array" ref="N252">SUMPRODUCT(--ISNUMBER(MATCH(TRIM(C252:L252),Extracted_Parameters!$B:$B,0)))=COUNTA(C252:K252)</f>
        <v>0</v>
      </c>
      <c r="O252" t="s">
        <v>57</v>
      </c>
      <c r="AA252"/>
    </row>
    <row r="253" spans="1:27" ht="14.4" hidden="1" customHeight="1" x14ac:dyDescent="0.3">
      <c r="A253" s="29" t="s">
        <v>524</v>
      </c>
      <c r="B253" t="s">
        <v>525</v>
      </c>
      <c r="N253" t="b" cm="1">
        <f t="array" ref="N253">SUMPRODUCT(--ISNUMBER(MATCH(TRIM(C253:L253),Extracted_Parameters!$B:$B,0)))=COUNTA(C253:K253)</f>
        <v>1</v>
      </c>
      <c r="O253" cm="1">
        <f t="array" ref="O253">COUNTA(C253:K253)-SUMPRODUCT(--ISNUMBER(MATCH(C253:K253,Extracted_Parameters!$B:$B,0)))</f>
        <v>0</v>
      </c>
    </row>
    <row r="254" spans="1:27" s="12" customFormat="1" ht="15" hidden="1" customHeight="1" thickBot="1" x14ac:dyDescent="0.35">
      <c r="A254" s="29"/>
      <c r="B254" s="22" t="s">
        <v>526</v>
      </c>
      <c r="N254" t="b" cm="1">
        <f t="array" ref="N254">SUMPRODUCT(--ISNUMBER(MATCH(TRIM(C254:L254),Extracted_Parameters!$B:$B,0)))=COUNTA(C254:K254)</f>
        <v>1</v>
      </c>
      <c r="O254" t="s">
        <v>57</v>
      </c>
      <c r="AA254"/>
    </row>
    <row r="255" spans="1:27" ht="15" hidden="1" customHeight="1" x14ac:dyDescent="0.3">
      <c r="A255" s="8" t="s">
        <v>527</v>
      </c>
      <c r="B255" t="s">
        <v>527</v>
      </c>
      <c r="N255" t="b" cm="1">
        <f t="array" ref="N255">SUMPRODUCT(--ISNUMBER(MATCH(TRIM(C255:L255),Extracted_Parameters!$B:$B,0)))=COUNTA(C255:K255)</f>
        <v>1</v>
      </c>
      <c r="O255" cm="1">
        <f t="array" ref="O255">COUNTA(C255:K255)-SUMPRODUCT(--ISNUMBER(MATCH(C255:K255,Extracted_Parameters!$B:$B,0)))</f>
        <v>0</v>
      </c>
    </row>
    <row r="256" spans="1:27" x14ac:dyDescent="0.3">
      <c r="A256" s="8" t="s">
        <v>528</v>
      </c>
      <c r="B256" t="s">
        <v>529</v>
      </c>
      <c r="C256" t="s">
        <v>37</v>
      </c>
      <c r="D256" t="s">
        <v>14</v>
      </c>
      <c r="E256" t="s">
        <v>530</v>
      </c>
      <c r="F256" t="s">
        <v>50</v>
      </c>
      <c r="N256" t="b" cm="1">
        <f t="array" ref="N256">SUMPRODUCT(--ISNUMBER(MATCH(TRIM(C256:L256),Extracted_Parameters!$B:$B,0)))=COUNTA(C256:K256)</f>
        <v>0</v>
      </c>
      <c r="O256" cm="1">
        <f t="array" ref="O256">COUNTA(C256:K256)-SUMPRODUCT(--ISNUMBER(MATCH(C256:K256,Extracted_Parameters!$B:$B,0)))</f>
        <v>1</v>
      </c>
    </row>
    <row r="257" spans="1:15" x14ac:dyDescent="0.3">
      <c r="A257" s="8" t="s">
        <v>531</v>
      </c>
      <c r="B257" t="s">
        <v>532</v>
      </c>
      <c r="C257" t="s">
        <v>37</v>
      </c>
      <c r="D257" t="s">
        <v>50</v>
      </c>
      <c r="E257" t="s">
        <v>533</v>
      </c>
      <c r="F257" t="s">
        <v>40</v>
      </c>
      <c r="G257" t="s">
        <v>45</v>
      </c>
      <c r="H257" t="s">
        <v>14</v>
      </c>
      <c r="I257" t="s">
        <v>112</v>
      </c>
      <c r="J257" t="s">
        <v>4</v>
      </c>
      <c r="N257" t="b" cm="1">
        <f t="array" ref="N257">SUMPRODUCT(--ISNUMBER(MATCH(TRIM(C257:L257),Extracted_Parameters!$B:$B,0)))=COUNTA(C257:K257)</f>
        <v>0</v>
      </c>
      <c r="O257" cm="1">
        <f t="array" ref="O257">COUNTA(C257:K257)-SUMPRODUCT(--ISNUMBER(MATCH(C257:K257,Extracted_Parameters!$B:$B,0)))</f>
        <v>1</v>
      </c>
    </row>
    <row r="258" spans="1:15" hidden="1" x14ac:dyDescent="0.3">
      <c r="A258" s="8" t="s">
        <v>534</v>
      </c>
      <c r="B258" t="s">
        <v>535</v>
      </c>
      <c r="C258" t="s">
        <v>37</v>
      </c>
      <c r="D258" t="s">
        <v>40</v>
      </c>
      <c r="E258" t="s">
        <v>356</v>
      </c>
      <c r="F258" t="s">
        <v>14</v>
      </c>
      <c r="G258" t="s">
        <v>24</v>
      </c>
      <c r="H258" t="s">
        <v>536</v>
      </c>
      <c r="I258" t="s">
        <v>537</v>
      </c>
      <c r="N258" t="b" cm="1">
        <f t="array" ref="N258">SUMPRODUCT(--ISNUMBER(MATCH(TRIM(C258:L258),Extracted_Parameters!$B:$B,0)))=COUNTA(C258:K258)</f>
        <v>0</v>
      </c>
      <c r="O258" cm="1">
        <f t="array" ref="O258">COUNTA(C258:K258)-SUMPRODUCT(--ISNUMBER(MATCH(C258:K258,Extracted_Parameters!$B:$B,0)))</f>
        <v>2</v>
      </c>
    </row>
    <row r="259" spans="1:15" hidden="1" x14ac:dyDescent="0.3">
      <c r="A259" s="8" t="s">
        <v>538</v>
      </c>
      <c r="B259" t="s">
        <v>539</v>
      </c>
      <c r="C259" t="s">
        <v>37</v>
      </c>
      <c r="D259" t="s">
        <v>515</v>
      </c>
      <c r="E259" t="s">
        <v>63</v>
      </c>
      <c r="F259" t="s">
        <v>45</v>
      </c>
      <c r="G259" t="s">
        <v>540</v>
      </c>
      <c r="H259" t="s">
        <v>541</v>
      </c>
      <c r="I259" t="s">
        <v>4</v>
      </c>
      <c r="N259" t="b" cm="1">
        <f t="array" ref="N259">SUMPRODUCT(--ISNUMBER(MATCH(TRIM(C259:L259),Extracted_Parameters!$B:$B,0)))=COUNTA(C259:K259)</f>
        <v>0</v>
      </c>
      <c r="O259" cm="1">
        <f t="array" ref="O259">COUNTA(C259:K259)-SUMPRODUCT(--ISNUMBER(MATCH(C259:K259,Extracted_Parameters!$B:$B,0)))</f>
        <v>3</v>
      </c>
    </row>
    <row r="260" spans="1:15" hidden="1" x14ac:dyDescent="0.3">
      <c r="A260" s="8" t="s">
        <v>542</v>
      </c>
      <c r="B260" t="s">
        <v>543</v>
      </c>
      <c r="N260" t="b" cm="1">
        <f t="array" ref="N260">SUMPRODUCT(--ISNUMBER(MATCH(TRIM(C260:L260),Extracted_Parameters!$B:$B,0)))=COUNTA(C260:K260)</f>
        <v>1</v>
      </c>
      <c r="O260" cm="1">
        <f t="array" ref="O260">COUNTA(C260:K260)-SUMPRODUCT(--ISNUMBER(MATCH(C260:K260,Extracted_Parameters!$B:$B,0)))</f>
        <v>0</v>
      </c>
    </row>
    <row r="261" spans="1:15" x14ac:dyDescent="0.3">
      <c r="A261" s="8" t="s">
        <v>544</v>
      </c>
      <c r="B261" t="s">
        <v>545</v>
      </c>
    </row>
    <row r="262" spans="1:15" x14ac:dyDescent="0.3">
      <c r="A262" s="8" t="s">
        <v>546</v>
      </c>
      <c r="B262" t="s">
        <v>547</v>
      </c>
    </row>
    <row r="263" spans="1:15" x14ac:dyDescent="0.3">
      <c r="A263" s="8" t="s">
        <v>548</v>
      </c>
      <c r="B263" t="s">
        <v>549</v>
      </c>
    </row>
    <row r="264" spans="1:15" ht="14.4" customHeight="1" x14ac:dyDescent="0.3">
      <c r="A264" s="29" t="s">
        <v>246</v>
      </c>
      <c r="B264" t="s">
        <v>550</v>
      </c>
    </row>
    <row r="265" spans="1:15" ht="14.4" customHeight="1" x14ac:dyDescent="0.3">
      <c r="A265" s="29"/>
      <c r="B265" t="s">
        <v>551</v>
      </c>
    </row>
    <row r="266" spans="1:15" ht="14.4" customHeight="1" x14ac:dyDescent="0.3">
      <c r="A266" s="29"/>
      <c r="B266" t="s">
        <v>552</v>
      </c>
    </row>
    <row r="267" spans="1:15" ht="14.4" customHeight="1" x14ac:dyDescent="0.3">
      <c r="A267" s="29"/>
      <c r="B267" t="s">
        <v>553</v>
      </c>
    </row>
    <row r="268" spans="1:15" x14ac:dyDescent="0.3">
      <c r="B268" t="s">
        <v>554</v>
      </c>
    </row>
  </sheetData>
  <autoFilter ref="N1:O260" xr:uid="{5CF3BBAD-D88F-4983-ABB9-440A26BB3CEE}">
    <filterColumn colId="1">
      <filters>
        <filter val="1"/>
      </filters>
    </filterColumn>
  </autoFilter>
  <mergeCells count="35">
    <mergeCell ref="A16:A17"/>
    <mergeCell ref="A2:A3"/>
    <mergeCell ref="A4:A6"/>
    <mergeCell ref="A7:A11"/>
    <mergeCell ref="A12:A13"/>
    <mergeCell ref="A14:A15"/>
    <mergeCell ref="A91:A100"/>
    <mergeCell ref="A18:A29"/>
    <mergeCell ref="A30:A31"/>
    <mergeCell ref="A33:A35"/>
    <mergeCell ref="A36:A39"/>
    <mergeCell ref="A40:A42"/>
    <mergeCell ref="A43:A57"/>
    <mergeCell ref="A58:A63"/>
    <mergeCell ref="A64:A69"/>
    <mergeCell ref="A70:A78"/>
    <mergeCell ref="A79:A81"/>
    <mergeCell ref="A82:A89"/>
    <mergeCell ref="A162:A178"/>
    <mergeCell ref="A101:A106"/>
    <mergeCell ref="A107:A108"/>
    <mergeCell ref="A109:A110"/>
    <mergeCell ref="A111:A112"/>
    <mergeCell ref="A113:A116"/>
    <mergeCell ref="A117:A120"/>
    <mergeCell ref="A121:A123"/>
    <mergeCell ref="A124:A134"/>
    <mergeCell ref="A138:A144"/>
    <mergeCell ref="A145:A148"/>
    <mergeCell ref="A149:A161"/>
    <mergeCell ref="A179:A201"/>
    <mergeCell ref="A202:A208"/>
    <mergeCell ref="A209:A250"/>
    <mergeCell ref="A253:A254"/>
    <mergeCell ref="A264:A267"/>
  </mergeCells>
  <conditionalFormatting sqref="B1:B1048576">
    <cfRule type="expression" priority="4">
      <formula>SUMPRODUCT(--ISNUMBER(MATCH($C1048576:$K1048576,$M$1:$M$26,0)))=COUNTA($C1048576:$K1048576)</formula>
    </cfRule>
  </conditionalFormatting>
  <conditionalFormatting sqref="B2">
    <cfRule type="expression" priority="3">
      <formula>SUMPRODUCT(--ISNUMBER(MATCH($C2:$K2,$M$1:$M$26,0)))=COUNTA($C2:$K2)</formula>
    </cfRule>
  </conditionalFormatting>
  <conditionalFormatting sqref="N1:N1048576">
    <cfRule type="containsText" dxfId="0" priority="1" operator="containsText" text="TRUE">
      <formula>NOT(ISERROR(SEARCH("TRUE",N1)))</formula>
    </cfRule>
    <cfRule type="containsText" priority="2" operator="containsText" text="TRUE">
      <formula>NOT(ISERROR(SEARCH("TRUE",N1)))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DA85-8460-4B75-B593-F0547E611E3D}">
  <dimension ref="A1:G10"/>
  <sheetViews>
    <sheetView workbookViewId="0">
      <selection activeCell="C9" sqref="C9"/>
    </sheetView>
  </sheetViews>
  <sheetFormatPr defaultRowHeight="14.4" x14ac:dyDescent="0.3"/>
  <cols>
    <col min="1" max="1" width="90.77734375" bestFit="1" customWidth="1"/>
    <col min="2" max="2" width="18.5546875" bestFit="1" customWidth="1"/>
    <col min="3" max="4" width="11.88671875" bestFit="1" customWidth="1"/>
    <col min="5" max="7" width="15.21875" bestFit="1" customWidth="1"/>
  </cols>
  <sheetData>
    <row r="1" spans="1:7" x14ac:dyDescent="0.3">
      <c r="A1" t="s">
        <v>588</v>
      </c>
      <c r="B1" t="s">
        <v>589</v>
      </c>
      <c r="C1" t="s">
        <v>590</v>
      </c>
      <c r="D1" t="s">
        <v>591</v>
      </c>
      <c r="E1" t="s">
        <v>592</v>
      </c>
      <c r="F1" t="s">
        <v>593</v>
      </c>
      <c r="G1" t="s">
        <v>594</v>
      </c>
    </row>
    <row r="2" spans="1:7" x14ac:dyDescent="0.3">
      <c r="A2" s="26" t="s">
        <v>84</v>
      </c>
      <c r="B2" t="s">
        <v>85</v>
      </c>
      <c r="C2" t="s">
        <v>37</v>
      </c>
      <c r="D2" t="s">
        <v>50</v>
      </c>
      <c r="E2" t="s">
        <v>14</v>
      </c>
    </row>
    <row r="3" spans="1:7" x14ac:dyDescent="0.3">
      <c r="A3" s="26" t="s">
        <v>587</v>
      </c>
      <c r="B3" t="s">
        <v>110</v>
      </c>
      <c r="C3" t="s">
        <v>111</v>
      </c>
      <c r="D3" t="s">
        <v>112</v>
      </c>
    </row>
    <row r="4" spans="1:7" x14ac:dyDescent="0.3">
      <c r="A4" t="s">
        <v>328</v>
      </c>
      <c r="B4" t="s">
        <v>339</v>
      </c>
      <c r="C4" t="s">
        <v>255</v>
      </c>
      <c r="D4" t="s">
        <v>50</v>
      </c>
      <c r="E4" t="s">
        <v>111</v>
      </c>
    </row>
    <row r="5" spans="1:7" x14ac:dyDescent="0.3">
      <c r="A5" s="8" t="s">
        <v>352</v>
      </c>
      <c r="B5" t="s">
        <v>378</v>
      </c>
      <c r="C5" t="s">
        <v>50</v>
      </c>
      <c r="D5" t="s">
        <v>37</v>
      </c>
      <c r="E5" t="s">
        <v>14</v>
      </c>
    </row>
    <row r="6" spans="1:7" x14ac:dyDescent="0.3">
      <c r="A6" t="s">
        <v>380</v>
      </c>
      <c r="B6" t="s">
        <v>381</v>
      </c>
      <c r="C6" t="s">
        <v>350</v>
      </c>
      <c r="D6" t="s">
        <v>111</v>
      </c>
    </row>
    <row r="7" spans="1:7" x14ac:dyDescent="0.3">
      <c r="A7" t="s">
        <v>380</v>
      </c>
      <c r="B7" t="s">
        <v>382</v>
      </c>
      <c r="C7" t="s">
        <v>37</v>
      </c>
      <c r="D7" t="s">
        <v>14</v>
      </c>
      <c r="E7" t="s">
        <v>4</v>
      </c>
      <c r="F7" t="s">
        <v>50</v>
      </c>
    </row>
    <row r="8" spans="1:7" x14ac:dyDescent="0.3">
      <c r="A8" t="s">
        <v>380</v>
      </c>
      <c r="B8" t="s">
        <v>393</v>
      </c>
      <c r="C8" t="s">
        <v>37</v>
      </c>
      <c r="D8" t="s">
        <v>50</v>
      </c>
      <c r="E8" t="s">
        <v>111</v>
      </c>
      <c r="F8" t="s">
        <v>14</v>
      </c>
      <c r="G8" t="s">
        <v>4</v>
      </c>
    </row>
    <row r="9" spans="1:7" x14ac:dyDescent="0.3">
      <c r="A9" s="8" t="s">
        <v>402</v>
      </c>
      <c r="B9" t="s">
        <v>412</v>
      </c>
      <c r="C9" t="s">
        <v>37</v>
      </c>
      <c r="D9" t="s">
        <v>111</v>
      </c>
      <c r="E9" t="s">
        <v>14</v>
      </c>
      <c r="F9" t="s">
        <v>4</v>
      </c>
      <c r="G9" t="s">
        <v>50</v>
      </c>
    </row>
    <row r="10" spans="1:7" x14ac:dyDescent="0.3">
      <c r="A10" t="s">
        <v>448</v>
      </c>
      <c r="B10" t="s">
        <v>508</v>
      </c>
      <c r="C10" t="s">
        <v>37</v>
      </c>
      <c r="D10" t="s">
        <v>50</v>
      </c>
      <c r="E10" t="s">
        <v>4</v>
      </c>
      <c r="F10" t="s">
        <v>14</v>
      </c>
    </row>
  </sheetData>
  <conditionalFormatting sqref="B2">
    <cfRule type="expression" priority="6">
      <formula>SUMPRODUCT(--ISNUMBER(MATCH(#REF!,$M$2:$M$27,0)))=COUNTA(#REF!)</formula>
    </cfRule>
  </conditionalFormatting>
  <conditionalFormatting sqref="B3:B10">
    <cfRule type="expression" priority="1">
      <formula>SUMPRODUCT(--ISNUMBER(MATCH($C2:$K2,$M$2:$M$27,0)))=COUNTA($C2:$K2)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BB12FD7F708B458F6406F2947A75EB" ma:contentTypeVersion="2" ma:contentTypeDescription="Create a new document." ma:contentTypeScope="" ma:versionID="5593148450a8b00278030df32d8a840e">
  <xsd:schema xmlns:xsd="http://www.w3.org/2001/XMLSchema" xmlns:xs="http://www.w3.org/2001/XMLSchema" xmlns:p="http://schemas.microsoft.com/office/2006/metadata/properties" xmlns:ns2="fd3f51f0-bb3b-4472-9e48-668eb65b8fb0" targetNamespace="http://schemas.microsoft.com/office/2006/metadata/properties" ma:root="true" ma:fieldsID="43ba8a58c8913627f65340318142e53a" ns2:_="">
    <xsd:import namespace="fd3f51f0-bb3b-4472-9e48-668eb65b8f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f51f0-bb3b-4472-9e48-668eb65b8f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8DD06D-2B3B-4D8B-ADA5-B3C42BF08C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B36E7A-5441-4C4C-B189-C7FF8C8B62C3}">
  <ds:schemaRefs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fd3f51f0-bb3b-4472-9e48-668eb65b8fb0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B89BC58-D48F-4076-8EC3-084E1A677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3f51f0-bb3b-4472-9e48-668eb65b8f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Database_Index2</vt:lpstr>
      <vt:lpstr>Extracted_Parameters</vt:lpstr>
      <vt:lpstr>MCOE Checklist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Rishi, Sidhaant (Onward Technologies)</dc:creator>
  <cp:keywords/>
  <dc:description/>
  <cp:lastModifiedBy>Rishi, Sidhaant (Onward Technologies)</cp:lastModifiedBy>
  <cp:revision/>
  <dcterms:created xsi:type="dcterms:W3CDTF">2026-09-29T04:53:01Z</dcterms:created>
  <dcterms:modified xsi:type="dcterms:W3CDTF">2026-10-26T11:16:47Z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2026-09-29T05:27:11Z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f2cd9516-2f1f-4bd4-87bc-51b440bc03d8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  <property fmtid="{D5CDD505-2E9C-101B-9397-08002B2CF9AE}" pid="10" name="ContentTypeId">
    <vt:lpwstr>0x01010057BB12FD7F708B458F6406F2947A75EB</vt:lpwstr>
  </property>
</Properties>
</file>